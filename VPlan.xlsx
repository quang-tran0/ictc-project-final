
<file path=[Content_Types].xml><?xml version="1.0" encoding="utf-8"?>
<ns0:Types xmlns:ns0="http://schemas.openxmlformats.org/package/2006/content-types">
  <ns0:Default Extension="xml" ContentType="application/vnd.openxmlformats-officedocument.spreadsheetml.sheet.main+xml"/>
  <ns0:Default Extension="rels" ContentType="application/vnd.openxmlformats-package.relationship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sharedStrings.xml" ContentType="application/vnd.openxmlformats-officedocument.spreadsheetml.sharedString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</ns0: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f431e141c3404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Vplan" sheetId="1" r:id="Ra54aa039505246cb"/>
    <x:sheet r:id="rIdVplanReview" name="Review Notes" sheetId="2"/>
    <x:sheet r:id="rIdVplanDeferred150" name="Deferred Cases" sheetId="3"/>
  </x:sheets>
  <x:calcPr calcId="191029" fullCalcOnLoad="1"/>
</x:workbook>
</file>

<file path=xl/sharedStrings.xml><?xml version="1.0" encoding="utf-8"?>
<x:sst xmlns:x="http://schemas.openxmlformats.org/spreadsheetml/2006/main">
  <x:si>
    <x:t xml:space="preserve">Total Items</x:t>
  </x:si>
  <x:si>
    <x:t xml:space="preserve">Pass Items</x:t>
  </x:si>
  <x:si>
    <x:t xml:space="preserve">Fail Items</x:t>
  </x:si>
  <x:si>
    <x:t xml:space="preserve">NY Items</x:t>
  </x:si>
  <x:si>
    <x:t xml:space="preserve">Section</x:t>
  </x:si>
  <x:si>
    <x:t xml:space="preserve">Main Title</x:t>
  </x:si>
  <x:si>
    <x:t xml:space="preserve">Description</x:t>
  </x:si>
  <x:si>
    <x:t xml:space="preserve">Testname</x:t>
  </x:si>
  <x:si>
    <x:t xml:space="preserve">Priority</x:t>
  </x:si>
  <x:si>
    <x:t xml:space="preserve">Method</x:t>
  </x:si>
  <x:si>
    <x:t xml:space="preserve">Owner</x:t>
  </x:si>
  <x:si>
    <x:t xml:space="preserve">Status</x:t>
  </x:si>
  <x:si>
    <x:t xml:space="preserve">Milestone</x:t>
  </x:si>
  <x:si>
    <x:t xml:space="preserve">Remark</x:t>
  </x:si>
</x:sst>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sz val="11"/>
      <x:color theme="1"/>
      <x:name val="Calibri"/>
    </x:font>
    <x:font>
      <x:b/>
      <x:sz val="11"/>
      <x:color theme="1"/>
      <x:name val="Calibri"/>
    </x:font>
    <x:font>
      <x:sz val="11"/>
      <x:color rgb="FF000000"/>
      <x:name val="Calibri"/>
    </x:font>
  </x:fonts>
  <x:fills count="8">
    <x:fill>
      <x:patternFill patternType="none"/>
    </x:fill>
    <x:fill>
      <x:patternFill patternType="lightGray"/>
    </x:fill>
    <x:fill>
      <x:patternFill patternType="solid">
        <x:fgColor rgb="FFFFE598"/>
      </x:patternFill>
    </x:fill>
    <x:fill>
      <x:patternFill patternType="solid">
        <x:fgColor theme="4"/>
      </x:patternFill>
    </x:fill>
    <x:fill>
      <x:patternFill patternType="solid">
        <x:fgColor rgb="FFC5E0B3"/>
      </x:patternFill>
    </x:fill>
    <x:fill>
      <x:patternFill patternType="solid">
        <x:fgColor rgb="FFFFFFFF"/>
      </x:patternFill>
    </x:fill>
    <x:fill>
      <x:patternFill patternType="solid">
        <x:fgColor rgb="FFC5E0B3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 applyFont="1" applyAlignment="1"/>
  </x:cellStyleXfs>
  <x:cellXfs count="33">
    <x:xf numFmtId="0" fontId="0" fillId="0" borderId="0" xfId="0" applyFont="1" applyAlignment="1">
      <x:alignment vertical="bottom" wrapText="0"/>
    </x:xf>
    <x:xf numFmtId="0" fontId="1" fillId="2" borderId="1" xfId="0" applyFont="1" applyFill="1" applyBorder="1" applyAlignment="1">
      <x:alignment horizontal="center"/>
    </x:xf>
    <x:xf numFmtId="0" fontId="1" fillId="0" borderId="1" xfId="0" applyFont="1" applyBorder="1"/>
    <x:xf numFmtId="0" fontId="2" fillId="3" borderId="1" xfId="0" applyFont="1" applyFill="1" applyBorder="1" applyAlignment="1">
      <x:alignment horizontal="center"/>
    </x:xf>
    <x:xf numFmtId="0" fontId="1" fillId="4" borderId="1" xfId="0" applyFont="1" applyFill="1" applyBorder="1"/>
    <x:xf numFmtId="0" fontId="1" fillId="0" borderId="1" xfId="0" applyFont="1" applyBorder="1" applyAlignment="1">
      <x:alignment wrapText="1"/>
    </x:xf>
    <x:xf numFmtId="0" fontId="1" fillId="0" borderId="1" xfId="0" applyFont="1" applyBorder="1" applyAlignment="1"/>
    <x:xf numFmtId="0" fontId="0" fillId="0" borderId="0" xfId="0" applyNumberFormat="1" applyFont="1" applyFill="1" applyBorder="1" applyAlignment="1">
      <x:alignment vertical="bottom" wrapText="0"/>
    </x:xf>
    <x:xf numFmtId="0" fontId="0" fillId="2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bottom" wrapText="0"/>
    </x:xf>
    <x:xf numFmtId="0" fontId="3" fillId="5" borderId="0" xfId="0" applyNumberFormat="1" applyFont="1" applyFill="1" applyBorder="1" applyAlignment="1">
      <x:alignment vertical="bottom" wrapText="0"/>
    </x:xf>
    <x:xf numFmtId="0" fontId="3" fillId="5" borderId="1" xfId="0" applyNumberFormat="1" applyFont="1" applyFill="1" applyBorder="1" applyAlignment="1">
      <x:alignment vertical="bottom" wrapText="0"/>
    </x:xf>
    <x:xf numFmtId="0" fontId="3" fillId="5" borderId="1" xfId="0" applyNumberFormat="1" applyFont="1" applyFill="1" applyBorder="1" applyAlignment="1">
      <x:alignment vertical="bottom" wrapText="1"/>
    </x:xf>
    <x:xf numFmtId="0" fontId="3" fillId="5" borderId="1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right" vertical="top" wrapText="1"/>
    </x:xf>
    <x:xf numFmtId="0" fontId="3" fillId="5" borderId="1" xfId="0" applyNumberFormat="1" applyFont="1" applyFill="1" applyBorder="1" applyAlignment="1">
      <x:alignment horizontal="center" vertical="top" wrapText="1"/>
    </x:xf>
    <x:xf numFmtId="0" fontId="3" fillId="6" borderId="1" xfId="0" applyNumberFormat="1" applyFont="1" applyFill="1" applyBorder="1" applyAlignment="1">
      <x:alignment horizontal="right" vertical="top" wrapText="1"/>
    </x:xf>
    <x:xf numFmtId="0" fontId="3" fillId="6" borderId="1" xfId="0" applyNumberFormat="1" applyFont="1" applyFill="1" applyBorder="1" applyAlignment="1">
      <x:alignment vertical="top" wrapText="1"/>
    </x:xf>
    <x:xf numFmtId="0" fontId="3" fillId="6" borderId="1" xfId="0" applyNumberFormat="1" applyFont="1" applyFill="1" applyBorder="1" applyAlignment="1">
      <x:alignment horizontal="center" vertical="top" wrapText="1"/>
    </x:xf>
    <x:xf numFmtId="0" fontId="3" fillId="6" borderId="1" xfId="0" applyNumberFormat="1" applyFont="1" applyFill="1" applyBorder="1" applyAlignment="1">
      <x:alignment horizontal="right" vertical="center" wrapText="1"/>
    </x:xf>
    <x:xf numFmtId="0" fontId="3" fillId="6" borderId="1" xfId="0" applyNumberFormat="1" applyFont="1" applyFill="1" applyBorder="1" applyAlignment="1">
      <x:alignment vertic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3" fillId="7" borderId="1" xfId="0" applyNumberFormat="1" applyFont="1" applyFill="1" applyBorder="1" applyAlignment="1">
      <x:alignment vertical="top" wrapText="1"/>
    </x:xf>
    <x:xf numFmtId="0" fontId="3" fillId="7" borderId="1" xfId="0" applyNumberFormat="1" applyFont="1" applyFill="1" applyBorder="1" applyAlignment="1">
      <x:alignment horizontal="right" vertical="top" wrapText="1"/>
    </x:xf>
    <x:xf numFmtId="0" fontId="3" fillId="7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styles" Target="/xl/styles.xml" Id="Rd6f60ec2ddcb4d4f" /><ns0:Relationship Type="http://schemas.openxmlformats.org/officeDocument/2006/relationships/theme" Target="/xl/theme/theme1.xml" Id="R90f242b5fee44c86" /><ns0:Relationship Type="http://schemas.openxmlformats.org/officeDocument/2006/relationships/sharedStrings" Target="/xl/sharedStrings.xml" Id="R69c0663d5c2f4372" /><ns0:Relationship Type="http://schemas.openxmlformats.org/officeDocument/2006/relationships/worksheet" Target="/xl/worksheets/sheet1.xml" Id="Ra54aa039505246cb" /><ns0:Relationship Id="rIdVplanReview" Type="http://schemas.openxmlformats.org/officeDocument/2006/relationships/worksheet" Target="/xl/worksheets/sheet2.xml" /><ns0:Relationship Id="rIdVplanDeferred150" Type="http://schemas.openxmlformats.org/officeDocument/2006/relationships/worksheet" Target="/xl/worksheets/sheet3.xml" /></ns0: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dimension ref="A1:J170"/>
  <x:sheetViews>
    <x:sheetView workbookViewId="0">
      <x:pane xSplit="2" ySplit="7" topLeftCell="C8" activePane="bottomRight" state="frozen"/>
      <x:selection pane="bottomRight" activeCell="C8" sqref="C8"/>
    </x:sheetView>
  </x:sheetViews>
  <x:sheetFormatPr defaultColWidth="14.430000305175781" defaultRowHeight="15"/>
  <x:cols>
    <x:col min="1" max="1" width="11" customWidth="1"/>
    <x:col min="2" max="2" width="35" customWidth="1"/>
    <x:col min="3" max="3" width="100" customWidth="1"/>
    <x:col min="4" max="4" width="42" customWidth="1"/>
    <x:col min="5" max="5" width="10" customWidth="1"/>
    <x:col min="6" max="6" width="12" customWidth="1"/>
    <x:col min="7" max="7" width="12" customWidth="1"/>
    <x:col min="8" max="8" width="16" customWidth="1"/>
    <x:col min="9" max="9" width="13" customWidth="1"/>
    <x:col min="10" max="10" width="64" customWidth="1"/>
  </x:cols>
  <x:sheetData>
    <x:row r="1" ht="14.25" customHeight="1">
      <x:c r="A1" s="17" t="inlineStr">
        <x:is>
          <x:t>Total Items</x:t>
        </x:is>
      </x:c>
      <x:c r="B1" s="23">
        <x:f>COUNTA(D8:D170)</x:f>
        <x:v>150</x:v>
      </x:c>
    </x:row>
    <x:row r="2" ht="14.25" customHeight="1">
      <x:c r="A2" s="17" t="inlineStr">
        <x:is>
          <x:t>Pass Items</x:t>
        </x:is>
      </x:c>
      <x:c r="B2" s="23">
        <x:f>COUNTIF(H8:H170,"Pass")</x:f>
        <x:v>107</x:v>
      </x:c>
    </x:row>
    <x:row r="3" ht="14.25" customHeight="1">
      <x:c r="A3" s="17" t="inlineStr">
        <x:is>
          <x:t>Fail Items</x:t>
        </x:is>
      </x:c>
      <x:c r="B3" s="23">
        <x:f>COUNTIF(H8:H170,"Fail")</x:f>
        <x:v>43</x:v>
      </x:c>
    </x:row>
    <x:row r="4" ht="14.25" customHeight="1">
      <x:c r="A4" s="17" t="inlineStr">
        <x:is>
          <x:t>NY Items</x:t>
        </x:is>
      </x:c>
      <x:c r="B4" s="23">
        <x:f>COUNTIF(H8:H170,"NY")</x:f>
        <x:v>0</x:v>
      </x:c>
    </x:row>
    <x:row r="5" ht="14.25" customHeight="1">
      <x:c r="A5" s="17" t="inlineStr">
        <x:is>
          <x:t>Pending spec</x:t>
        </x:is>
      </x:c>
      <x:c r="B5" s="23">
        <x:f>COUNTIF(H8:H170,"Pending spec")</x:f>
        <x:v>0</x:v>
      </x:c>
    </x:row>
    <x:row r="6" ht="14.25" customHeight="1"/>
    <x:row r="7" ht="34" customHeight="1">
      <x:c r="A7" s="3" t="s">
        <x:v>4</x:v>
      </x:c>
      <x:c r="B7" s="3" t="s">
        <x:v>5</x:v>
      </x:c>
      <x:c r="C7" s="3" t="s">
        <x:v>6</x:v>
      </x:c>
      <x:c r="D7" s="3" t="s">
        <x:v>7</x:v>
      </x:c>
      <x:c r="E7" s="3" t="s">
        <x:v>8</x:v>
      </x:c>
      <x:c r="F7" s="3" t="s">
        <x:v>9</x:v>
      </x:c>
      <x:c r="G7" s="3" t="s">
        <x:v>10</x:v>
      </x:c>
      <x:c r="H7" s="3" t="s">
        <x:v>11</x:v>
      </x:c>
      <x:c r="I7" s="3" t="s">
        <x:v>12</x:v>
      </x:c>
      <x:c r="J7" s="3" t="s">
        <x:v>13</x:v>
      </x:c>
    </x:row>
    <x:row r="8" ht="34" customHeight="1">
      <x:c r="A8" s="27" t="n">
        <x:v>1</x:v>
      </x:c>
      <x:c r="B8" s="28" t="str">
        <x:v>Register Verification</x:v>
      </x:c>
      <x:c r="C8" s="28"/>
      <x:c r="D8" s="28"/>
      <x:c r="E8" s="28"/>
      <x:c r="F8" s="28"/>
      <x:c r="G8" s="28"/>
      <x:c r="H8" s="29"/>
      <x:c r="I8" s="29"/>
      <x:c r="J8" s="28"/>
    </x:row>
    <x:row r="9" ht="210" customHeight="1">
      <x:c r="A9" s="22" t="str">
        <x:v>1.01</x:v>
      </x:c>
      <x:c r="B9" s="17" t="str">
        <x:v>Register reset defaults</x:v>
      </x:c>
      <x:c r="C9" s="17" t="str">
        <x:v>Objective: Verify defined reset state of all software-visible register fields.
Setup: Apply HRESETN=0 then release; initialize RAL HARD mirror.
Stimulus: Read MDR, DLL, DLH, LCR, IER, FSR through completed AHB word reads.
Expected: MDR=0, DLL=0, DLH=0, LCR[5:0]=0x03, IER[4:0]=0, FSR[4:0]=0x0A; RBR data is unspecified.
Checker / PASS: AHB monitor + masked expected values; exclude RBR and unspecified reserved bits.
Coverage: Register reset × access.</x:v>
      </x:c>
      <x:c r="D9" s="17" t="str">
        <x:v>uart_reg_reset_test</x:v>
      </x:c>
      <x:c r="E9" s="17" t="str">
        <x:v>High</x:v>
      </x:c>
      <x:c r="F9" s="17" t="str">
        <x:v>Directed</x:v>
      </x:c>
      <x:c r="G9" s="17"/>
      <x:c r="H9" s="23" t="inlineStr">
        <x:is>
          <x:t>Pass</x:t>
        </x:is>
      </x:c>
      <x:c r="I9" s="23" t="str">
        <x:v>M1</x:v>
      </x:c>
      <x:c r="J9" s="17" t="inlineStr">
        <x:is>
          <x:t>Spec v2.0 §2.2 (register table); Ch.3 sequence; RBR reset data unknown.
Validation 2026-10-24: PASS, Questa2021.2_1 seed1; completed scenario checks and required scoreboard comparisons.</x:t>
        </x:is>
      </x:c>
    </x:row>
    <x:row r="10" ht="210" customHeight="1">
      <x:c r="A10" s="22" t="str">
        <x:v>1.02</x:v>
      </x:c>
      <x:c r="B10" s="17" t="str">
        <x:v>MDR RW fields</x:v>
      </x:c>
      <x:c r="C10" s="17" t="str">
        <x:v>Objective: Verify meaningful writable fields of MDR and reserved-bit masking.
Setup: Reset DUT; select mapped AHB offset 0x000; avoid destructive serial activity.
Stimulus: Write and read legal OSM_SEL 0↔1; vary only documented writable bits.
Expected: Readback matches written bits under mask 0x01; access returns HRESP=OKAY.
Checker / PASS: AHB completed read vs expected masked RW value, independent of RAL mirror alone.
Coverage: MDR field values × read/write.</x:v>
      </x:c>
      <x:c r="D10" s="17" t="str">
        <x:v>uart_reg_mdr_rw_test</x:v>
      </x:c>
      <x:c r="E10" s="17" t="str">
        <x:v>High</x:v>
      </x:c>
      <x:c r="F10" s="17" t="str">
        <x:v>Directed</x:v>
      </x:c>
      <x:c r="G10" s="17"/>
      <x:c r="H10" s="23" t="inlineStr">
        <x:is>
          <x:t>Pass</x:t>
        </x:is>
      </x:c>
      <x:c r="I10" s="23" t="str">
        <x:v>M1</x:v>
      </x:c>
      <x:c r="J10" s="17" t="inlineStr">
        <x:is>
          <x:t>Spec v2.0 §2.2 MDR 0x000; unspecified reserved bits ignored.
Validation 2026-10-24: PASS, Questa2021.2_1 seed1; completed scenario checks and required scoreboard comparisons.</x:t>
        </x:is>
      </x:c>
    </x:row>
    <x:row r="11" ht="210" customHeight="1">
      <x:c r="A11" s="22" t="str">
        <x:v>1.03</x:v>
      </x:c>
      <x:c r="B11" s="17" t="str">
        <x:v>DLL RW fields</x:v>
      </x:c>
      <x:c r="C11" s="17" t="str">
        <x:v>Objective: Verify meaningful writable fields of DLL and reserved-bit masking.
Setup: Reset DUT; select mapped AHB offset 0x004; avoid destructive serial activity.
Stimulus: Write and read legal DLL low byte 0x00,0x8B,0xFF; vary only documented writable bits.
Expected: Readback matches written bits under mask 0xFF; access returns HRESP=OKAY.
Checker / PASS: AHB completed read vs expected masked RW value, independent of RAL mirror alone.
Coverage: DLL field values × read/write.</x:v>
      </x:c>
      <x:c r="D11" s="17" t="str">
        <x:v>uart_reg_dll_rw_test</x:v>
      </x:c>
      <x:c r="E11" s="17" t="str">
        <x:v>High</x:v>
      </x:c>
      <x:c r="F11" s="17" t="str">
        <x:v>Directed</x:v>
      </x:c>
      <x:c r="G11" s="17"/>
      <x:c r="H11" s="23" t="inlineStr">
        <x:is>
          <x:t>Pass</x:t>
        </x:is>
      </x:c>
      <x:c r="I11" s="23" t="str">
        <x:v>M1</x:v>
      </x:c>
      <x:c r="J11" s="17" t="inlineStr">
        <x:is>
          <x:t>Spec v2.0 §2.2 DLL 0x004; unspecified reserved bits ignored.
Validation 2026-10-24: PASS, Questa2021.2_1 seed1; completed scenario checks and required scoreboard comparisons.</x:t>
        </x:is>
      </x:c>
    </x:row>
    <x:row r="12" ht="210" customHeight="1">
      <x:c r="A12" s="22" t="str">
        <x:v>1.04</x:v>
      </x:c>
      <x:c r="B12" s="17" t="str">
        <x:v>DLH RW fields</x:v>
      </x:c>
      <x:c r="C12" s="17" t="str">
        <x:v>Objective: Verify meaningful writable fields of DLH and reserved-bit masking.
Setup: Reset DUT; select mapped AHB offset 0x008; avoid destructive serial activity.
Stimulus: Write and read legal DLH high byte 0x00,0x02,0xFF; vary only documented writable bits.
Expected: Readback matches written bits under mask 0xFF; access returns HRESP=OKAY.
Checker / PASS: AHB completed read vs expected masked RW value, independent of RAL mirror alone.
Coverage: DLH field values × read/write.</x:v>
      </x:c>
      <x:c r="D12" s="17" t="str">
        <x:v>uart_reg_dlh_rw_test</x:v>
      </x:c>
      <x:c r="E12" s="17" t="str">
        <x:v>High</x:v>
      </x:c>
      <x:c r="F12" s="17" t="str">
        <x:v>Directed</x:v>
      </x:c>
      <x:c r="G12" s="17"/>
      <x:c r="H12" s="23" t="inlineStr">
        <x:is>
          <x:t>Pass</x:t>
        </x:is>
      </x:c>
      <x:c r="I12" s="23" t="str">
        <x:v>M1</x:v>
      </x:c>
      <x:c r="J12" s="17" t="inlineStr">
        <x:is>
          <x:t>Spec v2.0 §2.2 DLH 0x008; unspecified reserved bits ignored.
Validation 2026-10-24: PASS, Questa2021.2_1 seed1; completed scenario checks and required scoreboard comparisons.</x:t>
        </x:is>
      </x:c>
    </x:row>
    <x:row r="13" ht="210" customHeight="1">
      <x:c r="A13" s="22" t="str">
        <x:v>1.05</x:v>
      </x:c>
      <x:c r="B13" s="17" t="str">
        <x:v>LCR RW fields</x:v>
      </x:c>
      <x:c r="C13" s="17" t="str">
        <x:v>Objective: Verify meaningful writable fields of LCR and reserved-bit masking.
Setup: Reset DUT; select mapped AHB offset 0x00C; avoid destructive serial activity.
Stimulus: Write and read legal BGE/EPS/PEN/STB/WLS readback; include WLS[1:0] values 0..3; vary only documented writable bits.
Expected: Readback matches written bits under mask 0x3F; access returns HRESP=OKAY.
Checker / PASS: AHB completed read vs expected masked RW value, independent of RAL mirror alone.
Coverage: LCR field values × read/write.</x:v>
      </x:c>
      <x:c r="D13" s="17" t="str">
        <x:v>uart_reg_lcr_rw_test</x:v>
      </x:c>
      <x:c r="E13" s="17" t="str">
        <x:v>High</x:v>
      </x:c>
      <x:c r="F13" s="17" t="str">
        <x:v>Directed</x:v>
      </x:c>
      <x:c r="G13" s="17"/>
      <x:c r="H13" s="23" t="inlineStr">
        <x:is>
          <x:t>Pass</x:t>
        </x:is>
      </x:c>
      <x:c r="I13" s="23" t="str">
        <x:v>M1</x:v>
      </x:c>
      <x:c r="J13" s="17" t="inlineStr">
        <x:is>
          <x:t>Spec v2.0 §2.2 LCR 0x00C; unspecified reserved bits ignored.
Validation 2026-10-24: PASS, Questa2021.2_1 seed1; completed scenario checks and required scoreboard comparisons.</x:t>
        </x:is>
      </x:c>
    </x:row>
    <x:row r="14" ht="210" customHeight="1">
      <x:c r="A14" s="22" t="str">
        <x:v>1.06</x:v>
      </x:c>
      <x:c r="B14" s="17" t="str">
        <x:v>IER RW fields</x:v>
      </x:c>
      <x:c r="C14" s="17" t="str">
        <x:v>Objective: Verify meaningful writable fields of IER and reserved-bit masking.
Setup: Reset DUT; select mapped AHB offset 0x010; avoid destructive serial activity.
Stimulus: Write and read legal each interrupt enable bit 0..4; vary only documented writable bits.
Expected: Readback matches written bits under mask 0x1F; access returns HRESP=OKAY.
Checker / PASS: AHB completed read vs expected masked RW value, independent of RAL mirror alone.
Coverage: IER field values × read/write.</x:v>
      </x:c>
      <x:c r="D14" s="17" t="str">
        <x:v>uart_reg_ier_rw_test</x:v>
      </x:c>
      <x:c r="E14" s="17" t="str">
        <x:v>High</x:v>
      </x:c>
      <x:c r="F14" s="17" t="str">
        <x:v>Directed</x:v>
      </x:c>
      <x:c r="G14" s="17"/>
      <x:c r="H14" s="23" t="inlineStr">
        <x:is>
          <x:t>Pass</x:t>
        </x:is>
      </x:c>
      <x:c r="I14" s="23" t="str">
        <x:v>M1</x:v>
      </x:c>
      <x:c r="J14" s="17" t="inlineStr">
        <x:is>
          <x:t>Spec v2.0 §2.2 IER 0x010; unspecified reserved bits ignored.
Validation 2026-10-24: PASS, Questa2021.2_1 seed1; completed scenario checks and required scoreboard comparisons.</x:t>
        </x:is>
      </x:c>
    </x:row>
    <x:row r="15" ht="210" customHeight="1">
      <x:c r="A15" s="22" t="str">
        <x:v>1.07</x:v>
      </x:c>
      <x:c r="B15" s="17" t="str">
        <x:v>FSR read-only FIFO status</x:v>
      </x:c>
      <x:c r="C15" s="17" t="str">
        <x:v>Objective: Verify read-only FIFO status reflects actual TX/RX occupancy.
Setup: Reset; configure slow baud, interrupts disabled; FSR at 0x014.
Stimulus: Read FSR when empty; enqueue or receive data; read FSR again; attempt non-W1C writes.
Expected: RO status bits [3:0] follow documented empty/full changes and are not modified by software writes.
Checker / PASS: FIFO event-aware reference state compared with FSR; no fixed mirror-only expectation.
Coverage: FSR RO status × FIFO occupancy.</x:v>
      </x:c>
      <x:c r="D15" s="17" t="str">
        <x:v>uart_reg_fsr_ro_test</x:v>
      </x:c>
      <x:c r="E15" s="17" t="str">
        <x:v>High</x:v>
      </x:c>
      <x:c r="F15" s="17" t="str">
        <x:v>Directed</x:v>
      </x:c>
      <x:c r="G15" s="17"/>
      <x:c r="H15" s="23" t="inlineStr">
        <x:is>
          <x:t>Pass</x:t>
        </x:is>
      </x:c>
      <x:c r="I15" s="23" t="str">
        <x:v>M4</x:v>
      </x:c>
      <x:c r="J15" s="17" t="inlineStr">
        <x:is>
          <x:t>Spec §2.2.6; FSR parity status bit4 handled separately.
Validation 2026-10-24: PASS, Questa2021.2_1 seed1; completed scenario checks and required scoreboard comparisons.</x:t>
        </x:is>
      </x:c>
    </x:row>
    <x:row r="16" ht="210" customHeight="1">
      <x:c r="A16" s="22" t="str">
        <x:v>1.08</x:v>
      </x:c>
      <x:c r="B16" s="17" t="str">
        <x:v>FSR parity status W1C</x:v>
      </x:c>
      <x:c r="C16" s="17" t="str">
        <x:v>Objective: Verify software clears parity-error flag only by writing one.
Setup: Configure parity-enabled RX; inject one bad parity frame and read FSR.
Stimulus: Write bit4=0; read; then write bit4=1; read FSR.
Expected: Bit4 remains set after writing zero and clears after writing one; remaining RO status unaffected.
Checker / PASS: AHB readback and expected W1C transition; record actual parity_error_status before clearing.
Coverage: FSR W1C write0/write1.</x:v>
      </x:c>
      <x:c r="D16" s="17" t="str">
        <x:v>uart_reg_fsr_w1c_test</x:v>
      </x:c>
      <x:c r="E16" s="17" t="str">
        <x:v>High</x:v>
      </x:c>
      <x:c r="F16" s="17" t="str">
        <x:v>Directed</x:v>
      </x:c>
      <x:c r="G16" s="17"/>
      <x:c r="H16" s="23" t="inlineStr">
        <x:is>
          <x:t>Fail</x:t>
        </x:is>
      </x:c>
      <x:c r="I16" s="23" t="str">
        <x:v>M4</x:v>
      </x:c>
      <x:c r="J16" s="17" t="inlineStr">
        <x:is>
          <x:t>Spec §2.2.6; avoid assumptions about repeated parity faults.
Validation 2026-10-24: FAIL, Questa2021.2_1 seed1. Injected bad parity was independently observed, but FSR.bit4 did not assert; W1C/sticky/IRQ scenarios cannot establish their required initial parity-error condition. Reproducer: uart_reg_fsr_w1c_test.</x:t>
        </x:is>
      </x:c>
    </x:row>
    <x:row r="17" ht="210" customHeight="1">
      <x:c r="A17" s="22" t="str">
        <x:v>1.10</x:v>
      </x:c>
      <x:c r="B17" s="17" t="str">
        <x:v>Reserved address read error</x:v>
      </x:c>
      <x:c r="C17" s="17" t="inlineStr">
        <x:is>
          <x:t>Objective: Verify reserved register-region reads return error without aliasing valid registers.
Setup: Reset DUT; register map only defines offsets 0x000–0x01C.
Stimulus: Read all 248 aligned word offsets 0x020..0x3FC; include every high address-bit combination to catch partial decoder aliasing.
Expected: HRESP=ERROR and HRDATA=0xFFFF_FFFF for reserved reads.
Checker / PASS: Check completed AHB error response and documented read data.
Coverage: Reserved aligned address0x020..0x3FC x read ERROR/data.</x:t>
        </x:is>
      </x:c>
      <x:c r="D17" s="17" t="str">
        <x:v>uart_reg_reserved_read_test</x:v>
      </x:c>
      <x:c r="E17" s="17" t="str">
        <x:v>High</x:v>
      </x:c>
      <x:c r="F17" s="17" t="str">
        <x:v>Directed</x:v>
      </x:c>
      <x:c r="G17" s="17"/>
      <x:c r="H17" s="23" t="inlineStr">
        <x:is>
          <x:t>Pass</x:t>
        </x:is>
      </x:c>
      <x:c r="I17" s="23" t="str">
        <x:v>M1</x:v>
      </x:c>
      <x:c r="J17" s="17" t="inlineStr">
        <x:is>
          <x:t>Spec §1.7.3/§2.2 reserved range 0x020..0x3FF. Strengthened from two samples to every legal word-aligned address; unaligned accesses remain unspecified.
Validation 2026-10-24: PASS, Questa2021.2_1 seed1; completed scenario checks and required scoreboard comparisons.</x:t>
        </x:is>
      </x:c>
    </x:row>
    <x:row r="18" ht="210" customHeight="1">
      <x:c r="A18" s="22" t="str">
        <x:v>1.11</x:v>
      </x:c>
      <x:c r="B18" s="17" t="str">
        <x:v>Reserved address write error</x:v>
      </x:c>
      <x:c r="C18" s="17" t="inlineStr">
        <x:is>
          <x:t>Objective: Verify reserved region writes return error and do not modify valid registers.
Setup: Reset; snapshot readable MDR/LCR/IER values.
Stimulus: Write distinct 32-bit patterns at all 248 aligned reserved offsets 0x020..0x3FC; reread valid registers after each write and track any unintended TBR/RBR side effect.
Expected: HRESP=ERROR; mapped fields retain prior values; no unintended FIFO enqueue/dequeue.
Checker / PASS: AHB response checker and nonaliasing register comparisons.
Coverage: Reserved aligned address0x020..0x3FC x write ERROR/nonaliasing.</x:t>
        </x:is>
      </x:c>
      <x:c r="D18" s="17" t="str">
        <x:v>uart_reg_reserved_write_test</x:v>
      </x:c>
      <x:c r="E18" s="17" t="str">
        <x:v>High</x:v>
      </x:c>
      <x:c r="F18" s="17" t="str">
        <x:v>Directed</x:v>
      </x:c>
      <x:c r="G18" s="17"/>
      <x:c r="H18" s="23" t="inlineStr">
        <x:is>
          <x:t>Pass</x:t>
        </x:is>
      </x:c>
      <x:c r="I18" s="23" t="str">
        <x:v>M1</x:v>
      </x:c>
      <x:c r="J18" s="17" t="inlineStr">
        <x:is>
          <x:t>Spec §1.7.3/§2.2. Strengthened full aligned decoder sweep; use a known RX queue and a controlled TX stream to detect FIFO aliases, not only RW register aliases.
Validation 2026-10-24: PASS, Questa2021.2_1 seed1; completed scenario checks and required scoreboard comparisons.</x:t>
        </x:is>
      </x:c>
    </x:row>
    <x:row r="19" ht="34" customHeight="1">
      <x:c r="A19" s="27" t="n">
        <x:v>2</x:v>
      </x:c>
      <x:c r="B19" s="28" t="str">
        <x:v>AHB-Lite Interface Verification</x:v>
      </x:c>
      <x:c r="C19" s="28"/>
      <x:c r="D19" s="28"/>
      <x:c r="E19" s="28"/>
      <x:c r="F19" s="28"/>
      <x:c r="G19" s="28"/>
      <x:c r="H19" s="29"/>
      <x:c r="I19" s="29"/>
      <x:c r="J19" s="28"/>
    </x:row>
    <x:row r="20" ht="210" customHeight="1">
      <x:c r="A20" s="22" t="str">
        <x:v>2.03</x:v>
      </x:c>
      <x:c r="B20" s="17" t="str">
        <x:v>One-beat undefined INCR read</x:v>
      </x:c>
      <x:c r="C20" s="17" t="str">
        <x:v>Objective: Verify HBURST=001 encoding only when one transfer is issued (read).
Setup: Reset; HSIZE=010; HBURST=001; issue only NONSEQ beat, never follow with SEQ.
Stimulus: Perform one legal 32-bit read of MDR or DLL.
Expected: DUT accepts the single beat; no unsupported multi-beat expectation.
Checker / PASS: Completed bus transaction checked for correct status and content.
Coverage: INCR-coded 1 beat × read.</x:v>
      </x:c>
      <x:c r="D20" s="17" t="str">
        <x:v>uart_ahb_incr1_read_test</x:v>
      </x:c>
      <x:c r="E20" s="17" t="str">
        <x:v>Medium</x:v>
      </x:c>
      <x:c r="F20" s="17" t="str">
        <x:v>Directed</x:v>
      </x:c>
      <x:c r="G20" s="17"/>
      <x:c r="H20" s="23" t="inlineStr">
        <x:is>
          <x:t>Pass</x:t>
        </x:is>
      </x:c>
      <x:c r="I20" s="23" t="str">
        <x:v>M1</x:v>
      </x:c>
      <x:c r="J20" s="17" t="inlineStr">
        <x:is>
          <x:t>Spec §1.6.1 allows HBURST=001 only for a single beat.
Validation 2026-10-24: PASS, Questa2021.2_1 seed1; completed scenario checks and required scoreboard comparisons.</x:t>
        </x:is>
      </x:c>
    </x:row>
    <x:row r="21" ht="210" customHeight="1">
      <x:c r="A21" s="22" t="str">
        <x:v>2.04</x:v>
      </x:c>
      <x:c r="B21" s="17" t="str">
        <x:v>One-beat undefined INCR write</x:v>
      </x:c>
      <x:c r="C21" s="17" t="str">
        <x:v>Objective: Verify HBURST=001 encoding only when one transfer is issued (write).
Setup: Reset; HSIZE=010; HBURST=001; issue only NONSEQ beat, never follow with SEQ.
Stimulus: Perform one legal 32-bit write of MDR or DLL.
Expected: DUT accepts the single beat; no unsupported multi-beat expectation.
Checker / PASS: Completed bus transaction checked for correct status and content.
Coverage: INCR-coded 1 beat × write.</x:v>
      </x:c>
      <x:c r="D21" s="17" t="str">
        <x:v>uart_ahb_incr1_write_test</x:v>
      </x:c>
      <x:c r="E21" s="17" t="str">
        <x:v>Medium</x:v>
      </x:c>
      <x:c r="F21" s="17" t="str">
        <x:v>Directed</x:v>
      </x:c>
      <x:c r="G21" s="17"/>
      <x:c r="H21" s="23" t="inlineStr">
        <x:is>
          <x:t>Pass</x:t>
        </x:is>
      </x:c>
      <x:c r="I21" s="23" t="str">
        <x:v>M1</x:v>
      </x:c>
      <x:c r="J21" s="17" t="inlineStr">
        <x:is>
          <x:t>Spec §1.6.1 allows HBURST=001 only for a single beat.
Validation 2026-10-24: PASS, Questa2021.2_1 seed1; completed scenario checks and required scoreboard comparisons.</x:t>
        </x:is>
      </x:c>
    </x:row>
    <x:row r="22" ht="210" customHeight="1">
      <x:c r="A22" s="22" t="str">
        <x:v>2.07</x:v>
      </x:c>
      <x:c r="B22" s="17" t="str">
        <x:v>Inactive selection and IDLE</x:v>
      </x:c>
      <x:c r="C22" s="17" t="str">
        <x:v>Objective: Verify IDLE or unselected AHB cycles do not cause register side effects.
Setup: Reset; record MDR and DLL.
Stimulus: Drive address/control with HSEL=0 or HTRANS=IDLE; vary HWRITE/HADDR/HWDATA.
Expected: No register write accepted; subsequent legal reads show unchanged values.
Checker / PASS: AHB monitor filters unselected/IDLE transfers; compare stable register data.
Coverage: HSEL × IDLE gating.</x:v>
      </x:c>
      <x:c r="D22" s="17" t="str">
        <x:v>uart_ahb_idle_hsel_test</x:v>
      </x:c>
      <x:c r="E22" s="17" t="str">
        <x:v>High</x:v>
      </x:c>
      <x:c r="F22" s="17" t="str">
        <x:v>Directed</x:v>
      </x:c>
      <x:c r="G22" s="17"/>
      <x:c r="H22" s="23" t="inlineStr">
        <x:is>
          <x:t>Pass</x:t>
        </x:is>
      </x:c>
      <x:c r="I22" s="23" t="str">
        <x:v>M1</x:v>
      </x:c>
      <x:c r="J22" s="17" t="inlineStr">
        <x:is>
          <x:t>AMBA AHB-Lite qualification; legal DUT subset.
Validation 2026-10-24: PASS, Questa2021.2_1 seed1; completed scenario checks and required scoreboard comparisons.</x:t>
        </x:is>
      </x:c>
    </x:row>
    <x:row r="23" ht="210" customHeight="1">
      <x:c r="A23" s="22" t="str">
        <x:v>2.08</x:v>
      </x:c>
      <x:c r="B23" s="17" t="str">
        <x:v>Back-to-back single transfers</x:v>
      </x:c>
      <x:c r="C23" s="17" t="inlineStr">
        <x:is>
          <x:t>Objective: Verify AHB pipelining with consecutive accepted single-beat transactions.
Setup: Reset; ensure no illegal burst extension.
Stimulus: Interleave write MDR, write DLL, read MDR, read DLL without inserting unnecessary IDLE.
Expected: Writes/readbacks occur once and preserve address/data phase association.
Checker / PASS: Order-aware AHB scoreboard; count all accepted/completed transfers.
Coverage: Consecutive READ/WRITE × transfer ordering.
Common AHB checks: Hold required controls/write data through actual HREADYOUT-low cycles; check correct phase association, read data/HRESP and exactly-once completion. Record real read/write wait cycles; do not force HREADYOUT or count unobserved stall coverage.</x:t>
        </x:is>
      </x:c>
      <x:c r="D23" s="17" t="str">
        <x:v>uart_ahb_back_to_back_test</x:v>
      </x:c>
      <x:c r="E23" s="17" t="str">
        <x:v>High</x:v>
      </x:c>
      <x:c r="F23" s="17" t="str">
        <x:v>Directed</x:v>
      </x:c>
      <x:c r="G23" s="17"/>
      <x:c r="H23" s="23" t="inlineStr">
        <x:is>
          <x:t xml:space="preserve">Fail</x:t>
        </x:is>
      </x:c>
      <x:c r="I23" s="23" t="str">
        <x:v>M1</x:v>
      </x:c>
      <x:c r="J23" s="17" t="inlineStr">
        <x:is>
          <x:t xml:space="preserve">Spec §1.6.1; check both when bridge stalls and when ready.
Validation 2026-10-24: FAIL, Questa2021.2_1 seed1. Observed address/data/response association mismatch during pipelined accesses; master wait-state stability checks report no violation. Reproducer: uart_ahb_back_to_back_test.
VIP timing recheck 2026-10-24: FAIL after simultaneous TX/RX thread isolation and absolute frame-end deadline fixes; Questa2021.2_1 seed1. No error catcher attached to DUT environment.</x:t>
        </x:is>
      </x:c>
    </x:row>
    <x:row r="24" ht="34" customHeight="1">
      <x:c r="A24" s="27" t="n">
        <x:v>3</x:v>
      </x:c>
      <x:c r="B24" s="28" t="str">
        <x:v>Baud Generator Verification</x:v>
      </x:c>
      <x:c r="C24" s="28"/>
      <x:c r="D24" s="28"/>
      <x:c r="E24" s="28"/>
      <x:c r="F24" s="28"/>
      <x:c r="G24" s="28"/>
      <x:c r="H24" s="29"/>
      <x:c r="I24" s="29"/>
      <x:c r="J24" s="28"/>
    </x:row>
    <x:row r="25" ht="210" customHeight="1">
      <x:c r="A25" s="22" t="str">
        <x:v>3.03</x:v>
      </x:c>
      <x:c r="B25" s="17" t="str">
        <x:v>Baud timing 9600 bps / 16×</x:v>
      </x:c>
      <x:c r="C25" s="17" t="str">
        <x:v>Objective: Verify actual UART bit timing for nominal 9600 baud at 16× oversampling.
Setup: HCLK=100MHz; MDR.OSM_SEL=0; DLL=0x8B; DLH=0x02; LCR=0x23 (8N1).
Stimulus: Transmit 0x55 and measure start, data and stop intervals on uart_txd.
Expected: Bit period=651×16×10ns=104160ns (actual 9600.61 baud); no fixed ideal nominal timing assumption.
Checker / PASS: UART monitor measures intervals against programmed divisor with clock-quantization tolerance; AHB setup must succeed.
Coverage: Baud example 9600 × OSM16.</x:v>
      </x:c>
      <x:c r="D25" s="17" t="str">
        <x:v>uart_baud_9600_osm16_test</x:v>
      </x:c>
      <x:c r="E25" s="17" t="str">
        <x:v>High</x:v>
      </x:c>
      <x:c r="F25" s="17" t="str">
        <x:v>Directed</x:v>
      </x:c>
      <x:c r="G25" s="17"/>
      <x:c r="H25" s="23" t="inlineStr">
        <x:is>
          <x:t>Pass</x:t>
        </x:is>
      </x:c>
      <x:c r="I25" s="23" t="str">
        <x:v>M4</x:v>
      </x:c>
      <x:c r="J25" s="17" t="inlineStr">
        <x:is>
          <x:t>Spec §1.5 Table 1-4; divisor=651.
Validation 2026-10-24: PASS, Questa2021.2_1 seed1; completed scenario checks and required scoreboard comparisons.</x:t>
        </x:is>
      </x:c>
    </x:row>
    <x:row r="26" ht="210" customHeight="1">
      <x:c r="A26" s="22" t="str">
        <x:v>3.10</x:v>
      </x:c>
      <x:c r="B26" s="17" t="str">
        <x:v>Baud timing 9600 bps / 13×</x:v>
      </x:c>
      <x:c r="C26" s="17" t="str">
        <x:v>Objective: Verify actual UART bit timing for nominal 9600 baud at 13× oversampling.
Setup: HCLK=100MHz; MDR.OSM_SEL=1; DLL=0x21; DLH=0x03; LCR=0x23 (8N1).
Stimulus: Transmit 0x55 and measure start, data and stop intervals on uart_txd.
Expected: Bit period=801×13×10ns=104130ns (actual 9603.38 baud); no fixed ideal nominal timing assumption.
Checker / PASS: UART monitor measures intervals against programmed divisor with clock-quantization tolerance; AHB setup must succeed.
Coverage: Baud example 9600 × OSM13.</x:v>
      </x:c>
      <x:c r="D26" s="17" t="str">
        <x:v>uart_baud_9600_osm13_test</x:v>
      </x:c>
      <x:c r="E26" s="17" t="str">
        <x:v>High</x:v>
      </x:c>
      <x:c r="F26" s="17" t="str">
        <x:v>Directed</x:v>
      </x:c>
      <x:c r="G26" s="17"/>
      <x:c r="H26" s="23" t="inlineStr">
        <x:is>
          <x:t>Pass</x:t>
        </x:is>
      </x:c>
      <x:c r="I26" s="23" t="str">
        <x:v>M4</x:v>
      </x:c>
      <x:c r="J26" s="17" t="inlineStr">
        <x:is>
          <x:t>Spec §1.5 Table 1-5; divisor=801.
Validation 2026-10-24: PASS, Questa2021.2_1 seed1; completed scenario checks and required scoreboard comparisons.</x:t>
        </x:is>
      </x:c>
    </x:row>
    <x:row r="27" ht="210" customHeight="1">
      <x:c r="A27" s="22" t="str">
        <x:v>3.15</x:v>
      </x:c>
      <x:c r="B27" s="17" t="inlineStr">
        <x:is>
          <x:t>TX divisor=1, OSM13 timing boundary</x:t>
        </x:is>
      </x:c>
      <x:c r="C27" s="17" t="inlineStr">
        <x:is>
          <x:t>Objective: TX divisor=1, OSM13 timing boundary.
Setup: HCLK=100MHz; MDR.OSM_SEL=1; DLL=0x01; DLH=0x00; LCR=0x23 (8N1); TX empty, RX idle high.
Stimulus: Read DLL/DLH back, write TBR=0x55 once and observe one complete TX frame.
Expected: One correctly decoded 0x55 frame; bit period=1*13*10ns=130ns; start low and stop high.
Checker / PASS: Require one UART data comparison and measured bit timing; readback alone cannot pass. Use frame-derived timeout plus finite margin; monitor remains active for an extra frame guard.
Coverage: TX x divisor1 x OSM13 x 8N1.</x:t>
        </x:is>
      </x:c>
      <x:c r="D27" s="17" t="str">
        <x:v>uart_baud_divisor_min_test</x:v>
      </x:c>
      <x:c r="E27" s="17" t="inlineStr">
        <x:is>
          <x:t>High</x:t>
        </x:is>
      </x:c>
      <x:c r="F27" s="17" t="str">
        <x:v>Directed</x:v>
      </x:c>
      <x:c r="G27" s="17"/>
      <x:c r="H27" s="23" t="inlineStr">
        <x:is>
          <x:t xml:space="preserve">Pass</x:t>
        </x:is>
      </x:c>
      <x:c r="I27" s="23" t="str">
        <x:v>M5</x:v>
      </x:c>
      <x:c r="J27" s="17" t="inlineStr">
        <x:is>
          <x:t xml:space="preserve">Spec §1.5 legal divisor range. Fixed boundary configuration; divisor1/OSM13 is fastest, divisor65535/OSM16 slowest. Other boundary/OSM pairs and RX at limits are outside this reduced plan. Scope refined for 150-case plan, 2026-10-24; original case ID/testname retained.
Validation 2026-10-24: PASS, Questa2021.2_1 seed1; completed scenario checks and required scoreboard comparisons.
VIP timing recheck 2026-10-24: PASS after simultaneous TX/RX thread isolation and absolute frame-end deadline fixes; Questa2021.2_1 seed1. No error catcher attached to DUT environment.</x:t>
        </x:is>
      </x:c>
    </x:row>
    <x:row r="28" ht="210" customHeight="1">
      <x:c r="A28" s="22" t="str">
        <x:v>3.16</x:v>
      </x:c>
      <x:c r="B28" s="17" t="inlineStr">
        <x:is>
          <x:t>TX divisor=65535, OSM16 timing boundary</x:t>
        </x:is>
      </x:c>
      <x:c r="C28" s="17" t="inlineStr">
        <x:is>
          <x:t>Objective: TX divisor=65535, OSM16 timing boundary.
Setup: HCLK=100MHz; MDR.OSM_SEL=0; DLL=0xFF; DLH=0xFF; LCR=0x23 (8N1); TX empty, RX idle high.
Stimulus: Read DLL/DLH back, write TBR=0x55 once and observe one complete TX frame.
Expected: One correctly decoded 0x55 frame; bit period=65535*16*10ns=10485600ns; start low and stop high.
Checker / PASS: Require one UART data comparison and measured bit timing; readback alone cannot pass. Use frame-derived timeout plus finite margin; monitor remains active for an extra frame guard.
Coverage: TX x divisor65535 x OSM16 x 8N1.</x:t>
        </x:is>
      </x:c>
      <x:c r="D28" s="17" t="str">
        <x:v>uart_baud_divisor_max_test</x:v>
      </x:c>
      <x:c r="E28" s="17" t="inlineStr">
        <x:is>
          <x:t>High</x:t>
        </x:is>
      </x:c>
      <x:c r="F28" s="17" t="str">
        <x:v>Directed</x:v>
      </x:c>
      <x:c r="G28" s="17"/>
      <x:c r="H28" s="23" t="inlineStr">
        <x:is>
          <x:t>Pass</x:t>
        </x:is>
      </x:c>
      <x:c r="I28" s="23" t="str">
        <x:v>M5</x:v>
      </x:c>
      <x:c r="J28" s="17" t="inlineStr">
        <x:is>
          <x:t>Spec §1.5 legal divisor range. Fixed boundary configuration; divisor1/OSM13 is fastest, divisor65535/OSM16 slowest. Other boundary/OSM pairs and RX at limits are outside this reduced plan. Scope refined for 150-case plan, 2026-10-24; original case ID/testname retained.
Validation 2026-10-24: PASS, Questa2021.2_1 seed1; completed scenario checks and required scoreboard comparisons.</x:t>
        </x:is>
      </x:c>
    </x:row>
    <x:row r="29" ht="34" customHeight="1">
      <x:c r="A29" s="27" t="n">
        <x:v>4</x:v>
      </x:c>
      <x:c r="B29" s="28" t="str">
        <x:v>UART Transmit Verification</x:v>
      </x:c>
      <x:c r="C29" s="28"/>
      <x:c r="D29" s="28"/>
      <x:c r="E29" s="28"/>
      <x:c r="F29" s="28"/>
      <x:c r="G29" s="28"/>
      <x:c r="H29" s="29"/>
      <x:c r="I29" s="29"/>
      <x:c r="J29" s="28"/>
    </x:row>
    <x:row r="30" ht="210" customHeight="1">
      <x:c r="A30" s="22" t="str">
        <x:v>4.01</x:v>
      </x:c>
      <x:c r="B30" s="17" t="str">
        <x:v>TX 5N1 / 16×</x:v>
      </x:c>
      <x:c r="C30" s="17" t="str">
        <x:v>Objective: Verify TX frame with 5-bit none parity, 1 stop bit(s) and 16× sampling.
Setup: Reset; HCLK=100MHz; MDR=0x00, DLL=0x36, DLH=0; LCR=0x20; baud ≈115740.7 bps.
Stimulus: AHB write TBR=0x15 (from 0x55); UART VIP monitors uart_txd.
Expected: Start=0, 5 LSB-first bits (0x15), NONE parity (omitted), 1 stop bit(s)=1.
Checker / PASS: AHB write completes; UART monitor checks decoded value, parity, stop count and bit period; TX scoreboard compares exactly one expected vs observed frame.
Coverage: TX × WLS5 × NONE × STB1 × OSM16.</x:v>
      </x:c>
      <x:c r="D30" s="17" t="str">
        <x:v>uart_tx_w5_none_s1_osm16_test</x:v>
      </x:c>
      <x:c r="E30" s="17" t="str">
        <x:v>Medium</x:v>
      </x:c>
      <x:c r="F30" s="17" t="str">
        <x:v>Directed</x:v>
      </x:c>
      <x:c r="G30" s="17"/>
      <x:c r="H30" s="23" t="inlineStr">
        <x:is>
          <x:t>Pass</x:t>
        </x:is>
      </x:c>
      <x:c r="I30" s="23" t="str">
        <x:v>M2</x:v>
      </x:c>
      <x:c r="J30" s="17" t="inlineStr">
        <x:is>
          <x:t>Spec §1.6.2 + §2.2.1/2.2.4; programmed baud = 100MHz/(54×16). EPS immaterial if PEN=0.
Validation 2026-10-24: PASS, Questa2021.2_1 seed1; completed scenario checks and required scoreboard comparisons.</x:t>
        </x:is>
      </x:c>
    </x:row>
    <x:row r="31" ht="210" customHeight="1">
      <x:c r="A31" s="22" t="str">
        <x:v>4.02</x:v>
      </x:c>
      <x:c r="B31" s="17" t="str">
        <x:v>TX 5N1 / 13×</x:v>
      </x:c>
      <x:c r="C31" s="17" t="str">
        <x:v>Objective: Verify TX frame with 5-bit none parity, 1 stop bit(s) and 13× sampling.
Setup: Reset; HCLK=100MHz; MDR=0x01, DLL=0x43, DLH=0; LCR=0x20; baud ≈114810.6 bps.
Stimulus: AHB write TBR=0x15 (from 0x55); UART VIP monitors uart_txd.
Expected: Start=0, 5 LSB-first bits (0x15), NONE parity (omitted), 1 stop bit(s)=1.
Checker / PASS: AHB write completes; UART monitor checks decoded value, parity, stop count and bit period; TX scoreboard compares exactly one expected vs observed frame.
Coverage: TX × WLS5 × NONE × STB1 × OSM13.</x:v>
      </x:c>
      <x:c r="D31" s="17" t="str">
        <x:v>uart_tx_w5_none_s1_osm13_test</x:v>
      </x:c>
      <x:c r="E31" s="17" t="str">
        <x:v>Medium</x:v>
      </x:c>
      <x:c r="F31" s="17" t="str">
        <x:v>Directed</x:v>
      </x:c>
      <x:c r="G31" s="17"/>
      <x:c r="H31" s="23" t="inlineStr">
        <x:is>
          <x:t>Pass</x:t>
        </x:is>
      </x:c>
      <x:c r="I31" s="23" t="str">
        <x:v>M2</x:v>
      </x:c>
      <x:c r="J31" s="17" t="inlineStr">
        <x:is>
          <x:t>Spec §1.6.2 + §2.2.1/2.2.4; programmed baud = 100MHz/(67×13). EPS immaterial if PEN=0.
Validation 2026-10-24: PASS, Questa2021.2_1 seed1; completed scenario checks and required scoreboard comparisons.</x:t>
        </x:is>
      </x:c>
    </x:row>
    <x:row r="32" ht="210" customHeight="1">
      <x:c r="A32" s="22" t="str">
        <x:v>4.03</x:v>
      </x:c>
      <x:c r="B32" s="17" t="str">
        <x:v>TX 5N2 / 16×</x:v>
      </x:c>
      <x:c r="C32" s="17" t="inlineStr">
        <x:is>
          <x:t>Objective: Verify TX frame with 5-bit none parity, 2 stop bit(s) and 16× sampling.
Setup: Reset; HCLK=100MHz; MDR=0x00, DLL=0x36, DLH=0; LCR=0x24; baud ≈115740.7 bps.
Stimulus: Queue two identical TBR payloads for this fixed format before the first frame finishes; UART VIP monitors both frames and the intervening stop interval.
Expected: Start=0, 5 LSB-first bits (0x15), NONE parity (omitted), 2 stop bit(s)=1.
Checker / PASS: AHB write completes; UART monitor checks decoded value, parity, stop count and bit period; TX scoreboard compares exactly two expected vs observed frames.
Coverage: TX × WLS5 × NONE × STB2 × OSM16.
Stop-width check: A queued second frame exposes a too-short two-stop-bit interval; this remains one fixed-format scenario.</x:t>
        </x:is>
      </x:c>
      <x:c r="D32" s="17" t="str">
        <x:v>uart_tx_w5_none_s2_osm16_test</x:v>
      </x:c>
      <x:c r="E32" s="17" t="str">
        <x:v>Medium</x:v>
      </x:c>
      <x:c r="F32" s="17" t="str">
        <x:v>Directed</x:v>
      </x:c>
      <x:c r="G32" s="17"/>
      <x:c r="H32" s="23" t="inlineStr">
        <x:is>
          <x:t>Pass</x:t>
        </x:is>
      </x:c>
      <x:c r="I32" s="23" t="str">
        <x:v>M2</x:v>
      </x:c>
      <x:c r="J32" s="17" t="inlineStr">
        <x:is>
          <x:t>Spec §1.6.2 + §2.2.1/2.2.4; programmed baud = 100MHz/(54×16). EPS immaterial if PEN=0.
Validation 2026-10-24: PASS, Questa2021.2_1 seed1; completed scenario checks and required scoreboard comparisons.</x:t>
        </x:is>
      </x:c>
    </x:row>
    <x:row r="33" ht="210" customHeight="1">
      <x:c r="A33" s="22" t="str">
        <x:v>4.04</x:v>
      </x:c>
      <x:c r="B33" s="17" t="str">
        <x:v>TX 5N2 / 13×</x:v>
      </x:c>
      <x:c r="C33" s="17" t="inlineStr">
        <x:is>
          <x:t>Objective: Verify TX frame with 5-bit none parity, 2 stop bit(s) and 13× sampling.
Setup: Reset; HCLK=100MHz; MDR=0x01, DLL=0x43, DLH=0; LCR=0x24; baud ≈114810.6 bps.
Stimulus: Queue two identical TBR payloads for this fixed format before the first frame finishes; UART VIP monitors both frames and the intervening stop interval.
Expected: Start=0, 5 LSB-first bits (0x15), NONE parity (omitted), 2 stop bit(s)=1.
Checker / PASS: AHB write completes; UART monitor checks decoded value, parity, stop count and bit period; TX scoreboard compares exactly two expected vs observed frames.
Coverage: TX × WLS5 × NONE × STB2 × OSM13.
Stop-width check: A queued second frame exposes a too-short two-stop-bit interval; this remains one fixed-format scenario.</x:t>
        </x:is>
      </x:c>
      <x:c r="D33" s="17" t="str">
        <x:v>uart_tx_w5_none_s2_osm13_test</x:v>
      </x:c>
      <x:c r="E33" s="17" t="str">
        <x:v>Medium</x:v>
      </x:c>
      <x:c r="F33" s="17" t="str">
        <x:v>Directed</x:v>
      </x:c>
      <x:c r="G33" s="17"/>
      <x:c r="H33" s="23" t="inlineStr">
        <x:is>
          <x:t xml:space="preserve">Pass</x:t>
        </x:is>
      </x:c>
      <x:c r="I33" s="23" t="str">
        <x:v>M2</x:v>
      </x:c>
      <x:c r="J33" s="17" t="inlineStr">
        <x:is>
          <x:t xml:space="preserve">Spec §1.6.2 + §2.2.1/2.2.4; programmed baud = 100MHz/(67×13). EPS immaterial if PEN=0.
Validation 2026-10-24: PASS, Questa2021.2_1 seed1; completed scenario checks and required scoreboard comparisons.
VIP timing recheck 2026-10-24: PASS after simultaneous TX/RX thread isolation and absolute frame-end deadline fixes; Questa2021.2_1 seed1. No error catcher attached to DUT environment.</x:t>
        </x:is>
      </x:c>
    </x:row>
    <x:row r="34" ht="210" customHeight="1">
      <x:c r="A34" s="22" t="str">
        <x:v>4.05</x:v>
      </x:c>
      <x:c r="B34" s="17" t="str">
        <x:v>TX 5E1 / 16×</x:v>
      </x:c>
      <x:c r="C34" s="17" t="str">
        <x:v>Objective: Verify TX frame with 5-bit even parity, 1 stop bit(s) and 16× sampling.
Setup: Reset; HCLK=100MHz; MDR=0x00, DLL=0x36, DLH=0; LCR=0x38; baud ≈115740.7 bps.
Stimulus: AHB write TBR=0x15 (from 0x55); UART VIP monitors uart_txd.
Expected: Start=0, 5 LSB-first bits (0x15), EVEN parity (one bit), 1 stop bit(s)=1.
Checker / PASS: AHB write completes; UART monitor checks decoded value, parity, stop count and bit period; TX scoreboard compares exactly one expected vs observed frame.
Coverage: TX × WLS5 × EVEN × STB1 × OSM16.</x:v>
      </x:c>
      <x:c r="D34" s="17" t="str">
        <x:v>uart_tx_w5_even_s1_osm16_test</x:v>
      </x:c>
      <x:c r="E34" s="17" t="str">
        <x:v>Medium</x:v>
      </x:c>
      <x:c r="F34" s="17" t="str">
        <x:v>Directed</x:v>
      </x:c>
      <x:c r="G34" s="17"/>
      <x:c r="H34" s="23" t="inlineStr">
        <x:is>
          <x:t>Fail</x:t>
        </x:is>
      </x:c>
      <x:c r="I34" s="23" t="str">
        <x:v>M2</x:v>
      </x:c>
      <x:c r="J34" s="17" t="inlineStr">
        <x:is>
          <x:t>Spec §1.6.2 + §2.2.1/2.2.4; programmed baud = 100MHz/(54×16). EPS immaterial if PEN=0.
Validation 2026-10-24: FAIL, Questa2021.2_1 seed1. Data comparison occurred, but DUT TX parity differs from the active-width even/odd reference. Reset/masking cases also depend on correct TX parity. Reproducer: uart_tx_w5_even_s1_osm16_test.</x:t>
        </x:is>
      </x:c>
    </x:row>
    <x:row r="35" ht="210" customHeight="1">
      <x:c r="A35" s="22" t="str">
        <x:v>4.06</x:v>
      </x:c>
      <x:c r="B35" s="17" t="str">
        <x:v>TX 5E1 / 13×</x:v>
      </x:c>
      <x:c r="C35" s="17" t="str">
        <x:v>Objective: Verify TX frame with 5-bit even parity, 1 stop bit(s) and 13× sampling.
Setup: Reset; HCLK=100MHz; MDR=0x01, DLL=0x43, DLH=0; LCR=0x38; baud ≈114810.6 bps.
Stimulus: AHB write TBR=0x15 (from 0x55); UART VIP monitors uart_txd.
Expected: Start=0, 5 LSB-first bits (0x15), EVEN parity (one bit), 1 stop bit(s)=1.
Checker / PASS: AHB write completes; UART monitor checks decoded value, parity, stop count and bit period; TX scoreboard compares exactly one expected vs observed frame.
Coverage: TX × WLS5 × EVEN × STB1 × OSM13.</x:v>
      </x:c>
      <x:c r="D35" s="17" t="str">
        <x:v>uart_tx_w5_even_s1_osm13_test</x:v>
      </x:c>
      <x:c r="E35" s="17" t="str">
        <x:v>Medium</x:v>
      </x:c>
      <x:c r="F35" s="17" t="str">
        <x:v>Directed</x:v>
      </x:c>
      <x:c r="G35" s="17"/>
      <x:c r="H35" s="23" t="inlineStr">
        <x:is>
          <x:t>Fail</x:t>
        </x:is>
      </x:c>
      <x:c r="I35" s="23" t="str">
        <x:v>M2</x:v>
      </x:c>
      <x:c r="J35" s="17" t="inlineStr">
        <x:is>
          <x:t>Spec §1.6.2 + §2.2.1/2.2.4; programmed baud = 100MHz/(67×13). EPS immaterial if PEN=0.
Validation 2026-10-24: FAIL, Questa2021.2_1 seed1. Data comparison occurred, but DUT TX parity differs from the active-width even/odd reference. Reset/masking cases also depend on correct TX parity. Reproducer: uart_tx_w5_even_s1_osm13_test.</x:t>
        </x:is>
      </x:c>
    </x:row>
    <x:row r="36" ht="210" customHeight="1">
      <x:c r="A36" s="22" t="str">
        <x:v>4.07</x:v>
      </x:c>
      <x:c r="B36" s="17" t="str">
        <x:v>TX 5E2 / 16×</x:v>
      </x:c>
      <x:c r="C36" s="17" t="inlineStr">
        <x:is>
          <x:t>Objective: Verify TX frame with 5-bit even parity, 2 stop bit(s) and 16× sampling.
Setup: Reset; HCLK=100MHz; MDR=0x00, DLL=0x36, DLH=0; LCR=0x3C; baud ≈115740.7 bps.
Stimulus: Queue two identical TBR payloads for this fixed format before the first frame finishes; UART VIP monitors both frames and the intervening stop interval.
Expected: Start=0, 5 LSB-first bits (0x15), EVEN parity (one bit), 2 stop bit(s)=1.
Checker / PASS: AHB write completes; UART monitor checks decoded value, parity, stop count and bit period; TX scoreboard compares exactly two expected vs observed frames.
Coverage: TX × WLS5 × EVEN × STB2 × OSM16.
Stop-width check: A queued second frame exposes a too-short two-stop-bit interval; this remains one fixed-format scenario.</x:t>
        </x:is>
      </x:c>
      <x:c r="D36" s="17" t="str">
        <x:v>uart_tx_w5_even_s2_osm16_test</x:v>
      </x:c>
      <x:c r="E36" s="17" t="str">
        <x:v>Medium</x:v>
      </x:c>
      <x:c r="F36" s="17" t="str">
        <x:v>Directed</x:v>
      </x:c>
      <x:c r="G36" s="17"/>
      <x:c r="H36" s="23" t="inlineStr">
        <x:is>
          <x:t>Fail</x:t>
        </x:is>
      </x:c>
      <x:c r="I36" s="23" t="str">
        <x:v>M2</x:v>
      </x:c>
      <x:c r="J36" s="17" t="inlineStr">
        <x:is>
          <x:t>Spec §1.6.2 + §2.2.1/2.2.4; programmed baud = 100MHz/(54×16). EPS immaterial if PEN=0.
Validation 2026-10-24: FAIL, Questa2021.2_1 seed1. Data comparison occurred, but DUT TX parity differs from the active-width even/odd reference. Reset/masking cases also depend on correct TX parity. Reproducer: uart_tx_w5_even_s2_osm16_test.</x:t>
        </x:is>
      </x:c>
    </x:row>
    <x:row r="37" ht="210" customHeight="1">
      <x:c r="A37" s="22" t="str">
        <x:v>4.08</x:v>
      </x:c>
      <x:c r="B37" s="17" t="str">
        <x:v>TX 5E2 / 13×</x:v>
      </x:c>
      <x:c r="C37" s="17" t="inlineStr">
        <x:is>
          <x:t>Objective: Verify TX frame with 5-bit even parity, 2 stop bit(s) and 13× sampling.
Setup: Reset; HCLK=100MHz; MDR=0x01, DLL=0x43, DLH=0; LCR=0x3C; baud ≈114810.6 bps.
Stimulus: Queue two identical TBR payloads for this fixed format before the first frame finishes; UART VIP monitors both frames and the intervening stop interval.
Expected: Start=0, 5 LSB-first bits (0x15), EVEN parity (one bit), 2 stop bit(s)=1.
Checker / PASS: AHB write completes; UART monitor checks decoded value, parity, stop count and bit period; TX scoreboard compares exactly two expected vs observed frames.
Coverage: TX × WLS5 × EVEN × STB2 × OSM13.
Stop-width check: A queued second frame exposes a too-short two-stop-bit interval; this remains one fixed-format scenario.</x:t>
        </x:is>
      </x:c>
      <x:c r="D37" s="17" t="str">
        <x:v>uart_tx_w5_even_s2_osm13_test</x:v>
      </x:c>
      <x:c r="E37" s="17" t="str">
        <x:v>Medium</x:v>
      </x:c>
      <x:c r="F37" s="17" t="str">
        <x:v>Directed</x:v>
      </x:c>
      <x:c r="G37" s="17"/>
      <x:c r="H37" s="23" t="inlineStr">
        <x:is>
          <x:t>Fail</x:t>
        </x:is>
      </x:c>
      <x:c r="I37" s="23" t="str">
        <x:v>M2</x:v>
      </x:c>
      <x:c r="J37" s="17" t="inlineStr">
        <x:is>
          <x:t>Spec §1.6.2 + §2.2.1/2.2.4; programmed baud = 100MHz/(67×13). EPS immaterial if PEN=0.
Validation 2026-10-24: FAIL, Questa2021.2_1 seed1. Data comparison occurred, but DUT TX parity differs from the active-width even/odd reference. Reset/masking cases also depend on correct TX parity. Reproducer: uart_tx_w5_even_s2_osm13_test.</x:t>
        </x:is>
      </x:c>
    </x:row>
    <x:row r="38" ht="210" customHeight="1">
      <x:c r="A38" s="22" t="str">
        <x:v>4.09</x:v>
      </x:c>
      <x:c r="B38" s="17" t="str">
        <x:v>TX 5O1 / 16×</x:v>
      </x:c>
      <x:c r="C38" s="17" t="str">
        <x:v>Objective: Verify TX frame with 5-bit odd parity, 1 stop bit(s) and 16× sampling.
Setup: Reset; HCLK=100MHz; MDR=0x00, DLL=0x36, DLH=0; LCR=0x28; baud ≈115740.7 bps.
Stimulus: AHB write TBR=0x15 (from 0x55); UART VIP monitors uart_txd.
Expected: Start=0, 5 LSB-first bits (0x15), ODD parity (one bit), 1 stop bit(s)=1.
Checker / PASS: AHB write completes; UART monitor checks decoded value, parity, stop count and bit period; TX scoreboard compares exactly one expected vs observed frame.
Coverage: TX × WLS5 × ODD × STB1 × OSM16.</x:v>
      </x:c>
      <x:c r="D38" s="17" t="str">
        <x:v>uart_tx_w5_odd_s1_osm16_test</x:v>
      </x:c>
      <x:c r="E38" s="17" t="str">
        <x:v>Medium</x:v>
      </x:c>
      <x:c r="F38" s="17" t="str">
        <x:v>Directed</x:v>
      </x:c>
      <x:c r="G38" s="17"/>
      <x:c r="H38" s="23" t="inlineStr">
        <x:is>
          <x:t>Fail</x:t>
        </x:is>
      </x:c>
      <x:c r="I38" s="23" t="str">
        <x:v>M2</x:v>
      </x:c>
      <x:c r="J38" s="17" t="inlineStr">
        <x:is>
          <x:t>Spec §1.6.2 + §2.2.1/2.2.4; programmed baud = 100MHz/(54×16). EPS immaterial if PEN=0.
Validation 2026-10-24: FAIL, Questa2021.2_1 seed1. Data comparison occurred, but DUT TX parity differs from the active-width even/odd reference. Reset/masking cases also depend on correct TX parity. Reproducer: uart_tx_w5_odd_s1_osm16_test.</x:t>
        </x:is>
      </x:c>
    </x:row>
    <x:row r="39" ht="210" customHeight="1">
      <x:c r="A39" s="22" t="str">
        <x:v>4.10</x:v>
      </x:c>
      <x:c r="B39" s="17" t="str">
        <x:v>TX 5O1 / 13×</x:v>
      </x:c>
      <x:c r="C39" s="17" t="str">
        <x:v>Objective: Verify TX frame with 5-bit odd parity, 1 stop bit(s) and 13× sampling.
Setup: Reset; HCLK=100MHz; MDR=0x01, DLL=0x43, DLH=0; LCR=0x28; baud ≈114810.6 bps.
Stimulus: AHB write TBR=0x15 (from 0x55); UART VIP monitors uart_txd.
Expected: Start=0, 5 LSB-first bits (0x15), ODD parity (one bit), 1 stop bit(s)=1.
Checker / PASS: AHB write completes; UART monitor checks decoded value, parity, stop count and bit period; TX scoreboard compares exactly one expected vs observed frame.
Coverage: TX × WLS5 × ODD × STB1 × OSM13.</x:v>
      </x:c>
      <x:c r="D39" s="17" t="str">
        <x:v>uart_tx_w5_odd_s1_osm13_test</x:v>
      </x:c>
      <x:c r="E39" s="17" t="str">
        <x:v>Medium</x:v>
      </x:c>
      <x:c r="F39" s="17" t="str">
        <x:v>Directed</x:v>
      </x:c>
      <x:c r="G39" s="17"/>
      <x:c r="H39" s="23" t="inlineStr">
        <x:is>
          <x:t>Fail</x:t>
        </x:is>
      </x:c>
      <x:c r="I39" s="23" t="str">
        <x:v>M2</x:v>
      </x:c>
      <x:c r="J39" s="17" t="inlineStr">
        <x:is>
          <x:t>Spec §1.6.2 + §2.2.1/2.2.4; programmed baud = 100MHz/(67×13). EPS immaterial if PEN=0.
Validation 2026-10-24: FAIL, Questa2021.2_1 seed1. Data comparison occurred, but DUT TX parity differs from the active-width even/odd reference. Reset/masking cases also depend on correct TX parity. Reproducer: uart_tx_w5_odd_s1_osm13_test.</x:t>
        </x:is>
      </x:c>
    </x:row>
    <x:row r="40" ht="210" customHeight="1">
      <x:c r="A40" s="22" t="str">
        <x:v>4.11</x:v>
      </x:c>
      <x:c r="B40" s="17" t="str">
        <x:v>TX 5O2 / 16×</x:v>
      </x:c>
      <x:c r="C40" s="17" t="inlineStr">
        <x:is>
          <x:t>Objective: Verify TX frame with 5-bit odd parity, 2 stop bit(s) and 16× sampling.
Setup: Reset; HCLK=100MHz; MDR=0x00, DLL=0x36, DLH=0; LCR=0x2C; baud ≈115740.7 bps.
Stimulus: Queue two identical TBR payloads for this fixed format before the first frame finishes; UART VIP monitors both frames and the intervening stop interval.
Expected: Start=0, 5 LSB-first bits (0x15), ODD parity (one bit), 2 stop bit(s)=1.
Checker / PASS: AHB write completes; UART monitor checks decoded value, parity, stop count and bit period; TX scoreboard compares exactly two expected vs observed frames.
Coverage: TX × WLS5 × ODD × STB2 × OSM16.
Stop-width check: A queued second frame exposes a too-short two-stop-bit interval; this remains one fixed-format scenario.</x:t>
        </x:is>
      </x:c>
      <x:c r="D40" s="17" t="str">
        <x:v>uart_tx_w5_odd_s2_osm16_test</x:v>
      </x:c>
      <x:c r="E40" s="17" t="str">
        <x:v>Medium</x:v>
      </x:c>
      <x:c r="F40" s="17" t="str">
        <x:v>Directed</x:v>
      </x:c>
      <x:c r="G40" s="17"/>
      <x:c r="H40" s="23" t="inlineStr">
        <x:is>
          <x:t>Fail</x:t>
        </x:is>
      </x:c>
      <x:c r="I40" s="23" t="str">
        <x:v>M2</x:v>
      </x:c>
      <x:c r="J40" s="17" t="inlineStr">
        <x:is>
          <x:t>Spec §1.6.2 + §2.2.1/2.2.4; programmed baud = 100MHz/(54×16). EPS immaterial if PEN=0.
Validation 2026-10-24: FAIL, Questa2021.2_1 seed1. Data comparison occurred, but DUT TX parity differs from the active-width even/odd reference. Reset/masking cases also depend on correct TX parity. Reproducer: uart_tx_w5_odd_s2_osm16_test.</x:t>
        </x:is>
      </x:c>
    </x:row>
    <x:row r="41" ht="210" customHeight="1">
      <x:c r="A41" s="22" t="str">
        <x:v>4.12</x:v>
      </x:c>
      <x:c r="B41" s="17" t="str">
        <x:v>TX 5O2 / 13×</x:v>
      </x:c>
      <x:c r="C41" s="17" t="inlineStr">
        <x:is>
          <x:t>Objective: Verify TX frame with 5-bit odd parity, 2 stop bit(s) and 13× sampling.
Setup: Reset; HCLK=100MHz; MDR=0x01, DLL=0x43, DLH=0; LCR=0x2C; baud ≈114810.6 bps.
Stimulus: Queue two identical TBR payloads for this fixed format before the first frame finishes; UART VIP monitors both frames and the intervening stop interval.
Expected: Start=0, 5 LSB-first bits (0x15), ODD parity (one bit), 2 stop bit(s)=1.
Checker / PASS: AHB write completes; UART monitor checks decoded value, parity, stop count and bit period; TX scoreboard compares exactly two expected vs observed frames.
Coverage: TX × WLS5 × ODD × STB2 × OSM13.
Stop-width check: A queued second frame exposes a too-short two-stop-bit interval; this remains one fixed-format scenario.</x:t>
        </x:is>
      </x:c>
      <x:c r="D41" s="17" t="str">
        <x:v>uart_tx_w5_odd_s2_osm13_test</x:v>
      </x:c>
      <x:c r="E41" s="17" t="str">
        <x:v>Medium</x:v>
      </x:c>
      <x:c r="F41" s="17" t="str">
        <x:v>Directed</x:v>
      </x:c>
      <x:c r="G41" s="17"/>
      <x:c r="H41" s="23" t="inlineStr">
        <x:is>
          <x:t>Fail</x:t>
        </x:is>
      </x:c>
      <x:c r="I41" s="23" t="str">
        <x:v>M2</x:v>
      </x:c>
      <x:c r="J41" s="17" t="inlineStr">
        <x:is>
          <x:t>Spec §1.6.2 + §2.2.1/2.2.4; programmed baud = 100MHz/(67×13). EPS immaterial if PEN=0.
Validation 2026-10-24: FAIL, Questa2021.2_1 seed1. Data comparison occurred, but DUT TX parity differs from the active-width even/odd reference. Reset/masking cases also depend on correct TX parity. Reproducer: uart_tx_w5_odd_s2_osm13_test.</x:t>
        </x:is>
      </x:c>
    </x:row>
    <x:row r="42" ht="210" customHeight="1">
      <x:c r="A42" s="22" t="str">
        <x:v>4.13</x:v>
      </x:c>
      <x:c r="B42" s="17" t="str">
        <x:v>TX 6N1 / 16×</x:v>
      </x:c>
      <x:c r="C42" s="17" t="str">
        <x:v>Objective: Verify TX frame with 6-bit none parity, 1 stop bit(s) and 16× sampling.
Setup: Reset; HCLK=100MHz; MDR=0x00, DLL=0x36, DLH=0; LCR=0x21; baud ≈115740.7 bps.
Stimulus: AHB write TBR=0x15 (from 0x55); UART VIP monitors uart_txd.
Expected: Start=0, 6 LSB-first bits (0x15), NONE parity (omitted), 1 stop bit(s)=1.
Checker / PASS: AHB write completes; UART monitor checks decoded value, parity, stop count and bit period; TX scoreboard compares exactly one expected vs observed frame.
Coverage: TX × WLS6 × NONE × STB1 × OSM16.</x:v>
      </x:c>
      <x:c r="D42" s="17" t="str">
        <x:v>uart_tx_w6_none_s1_osm16_test</x:v>
      </x:c>
      <x:c r="E42" s="17" t="str">
        <x:v>Medium</x:v>
      </x:c>
      <x:c r="F42" s="17" t="str">
        <x:v>Directed</x:v>
      </x:c>
      <x:c r="G42" s="17"/>
      <x:c r="H42" s="23" t="inlineStr">
        <x:is>
          <x:t>Pass</x:t>
        </x:is>
      </x:c>
      <x:c r="I42" s="23" t="str">
        <x:v>M2</x:v>
      </x:c>
      <x:c r="J42" s="17" t="inlineStr">
        <x:is>
          <x:t>Spec §1.6.2 + §2.2.1/2.2.4; programmed baud = 100MHz/(54×16). EPS immaterial if PEN=0.
Validation 2026-10-24: PASS, Questa2021.2_1 seed1; completed scenario checks and required scoreboard comparisons.</x:t>
        </x:is>
      </x:c>
    </x:row>
    <x:row r="43" ht="210" customHeight="1">
      <x:c r="A43" s="22" t="str">
        <x:v>4.14</x:v>
      </x:c>
      <x:c r="B43" s="17" t="str">
        <x:v>TX 6N1 / 13×</x:v>
      </x:c>
      <x:c r="C43" s="17" t="str">
        <x:v>Objective: Verify TX frame with 6-bit none parity, 1 stop bit(s) and 13× sampling.
Setup: Reset; HCLK=100MHz; MDR=0x01, DLL=0x43, DLH=0; LCR=0x21; baud ≈114810.6 bps.
Stimulus: AHB write TBR=0x15 (from 0x55); UART VIP monitors uart_txd.
Expected: Start=0, 6 LSB-first bits (0x15), NONE parity (omitted), 1 stop bit(s)=1.
Checker / PASS: AHB write completes; UART monitor checks decoded value, parity, stop count and bit period; TX scoreboard compares exactly one expected vs observed frame.
Coverage: TX × WLS6 × NONE × STB1 × OSM13.</x:v>
      </x:c>
      <x:c r="D43" s="17" t="str">
        <x:v>uart_tx_w6_none_s1_osm13_test</x:v>
      </x:c>
      <x:c r="E43" s="17" t="str">
        <x:v>Medium</x:v>
      </x:c>
      <x:c r="F43" s="17" t="str">
        <x:v>Directed</x:v>
      </x:c>
      <x:c r="G43" s="17"/>
      <x:c r="H43" s="23" t="inlineStr">
        <x:is>
          <x:t>Pass</x:t>
        </x:is>
      </x:c>
      <x:c r="I43" s="23" t="str">
        <x:v>M2</x:v>
      </x:c>
      <x:c r="J43" s="17" t="inlineStr">
        <x:is>
          <x:t>Spec §1.6.2 + §2.2.1/2.2.4; programmed baud = 100MHz/(67×13). EPS immaterial if PEN=0.
Validation 2026-10-24: PASS, Questa2021.2_1 seed1; completed scenario checks and required scoreboard comparisons.</x:t>
        </x:is>
      </x:c>
    </x:row>
    <x:row r="44" ht="210" customHeight="1">
      <x:c r="A44" s="22" t="str">
        <x:v>4.15</x:v>
      </x:c>
      <x:c r="B44" s="17" t="str">
        <x:v>TX 6N2 / 16×</x:v>
      </x:c>
      <x:c r="C44" s="17" t="inlineStr">
        <x:is>
          <x:t>Objective: Verify TX frame with 6-bit none parity, 2 stop bit(s) and 16× sampling.
Setup: Reset; HCLK=100MHz; MDR=0x00, DLL=0x36, DLH=0; LCR=0x25; baud ≈115740.7 bps.
Stimulus: Queue two identical TBR payloads for this fixed format before the first frame finishes; UART VIP monitors both frames and the intervening stop interval.
Expected: Start=0, 6 LSB-first bits (0x15), NONE parity (omitted), 2 stop bit(s)=1.
Checker / PASS: AHB write completes; UART monitor checks decoded value, parity, stop count and bit period; TX scoreboard compares exactly two expected vs observed frames.
Coverage: TX × WLS6 × NONE × STB2 × OSM16.
Stop-width check: A queued second frame exposes a too-short two-stop-bit interval; this remains one fixed-format scenario.</x:t>
        </x:is>
      </x:c>
      <x:c r="D44" s="17" t="str">
        <x:v>uart_tx_w6_none_s2_osm16_test</x:v>
      </x:c>
      <x:c r="E44" s="17" t="str">
        <x:v>Medium</x:v>
      </x:c>
      <x:c r="F44" s="17" t="str">
        <x:v>Directed</x:v>
      </x:c>
      <x:c r="G44" s="17"/>
      <x:c r="H44" s="23" t="inlineStr">
        <x:is>
          <x:t>Pass</x:t>
        </x:is>
      </x:c>
      <x:c r="I44" s="23" t="str">
        <x:v>M2</x:v>
      </x:c>
      <x:c r="J44" s="17" t="inlineStr">
        <x:is>
          <x:t>Spec §1.6.2 + §2.2.1/2.2.4; programmed baud = 100MHz/(54×16). EPS immaterial if PEN=0.
Validation 2026-10-24: PASS, Questa2021.2_1 seed1; completed scenario checks and required scoreboard comparisons.</x:t>
        </x:is>
      </x:c>
    </x:row>
    <x:row r="45" ht="210" customHeight="1">
      <x:c r="A45" s="22" t="str">
        <x:v>4.16</x:v>
      </x:c>
      <x:c r="B45" s="17" t="str">
        <x:v>TX 6N2 / 13×</x:v>
      </x:c>
      <x:c r="C45" s="17" t="inlineStr">
        <x:is>
          <x:t>Objective: Verify TX frame with 6-bit none parity, 2 stop bit(s) and 13× sampling.
Setup: Reset; HCLK=100MHz; MDR=0x01, DLL=0x43, DLH=0; LCR=0x25; baud ≈114810.6 bps.
Stimulus: Queue two identical TBR payloads for this fixed format before the first frame finishes; UART VIP monitors both frames and the intervening stop interval.
Expected: Start=0, 6 LSB-first bits (0x15), NONE parity (omitted), 2 stop bit(s)=1.
Checker / PASS: AHB write completes; UART monitor checks decoded value, parity, stop count and bit period; TX scoreboard compares exactly two expected vs observed frames.
Coverage: TX × WLS6 × NONE × STB2 × OSM13.
Stop-width check: A queued second frame exposes a too-short two-stop-bit interval; this remains one fixed-format scenario.</x:t>
        </x:is>
      </x:c>
      <x:c r="D45" s="17" t="str">
        <x:v>uart_tx_w6_none_s2_osm13_test</x:v>
      </x:c>
      <x:c r="E45" s="17" t="str">
        <x:v>Medium</x:v>
      </x:c>
      <x:c r="F45" s="17" t="str">
        <x:v>Directed</x:v>
      </x:c>
      <x:c r="G45" s="17"/>
      <x:c r="H45" s="23" t="inlineStr">
        <x:is>
          <x:t>Pass</x:t>
        </x:is>
      </x:c>
      <x:c r="I45" s="23" t="str">
        <x:v>M2</x:v>
      </x:c>
      <x:c r="J45" s="17" t="inlineStr">
        <x:is>
          <x:t>Spec §1.6.2 + §2.2.1/2.2.4; programmed baud = 100MHz/(67×13). EPS immaterial if PEN=0.
Validation 2026-10-24: PASS, Questa2021.2_1 seed1; completed scenario checks and required scoreboard comparisons.</x:t>
        </x:is>
      </x:c>
    </x:row>
    <x:row r="46" ht="210" customHeight="1">
      <x:c r="A46" s="22" t="str">
        <x:v>4.17</x:v>
      </x:c>
      <x:c r="B46" s="17" t="str">
        <x:v>TX 6E1 / 16×</x:v>
      </x:c>
      <x:c r="C46" s="17" t="str">
        <x:v>Objective: Verify TX frame with 6-bit even parity, 1 stop bit(s) and 16× sampling.
Setup: Reset; HCLK=100MHz; MDR=0x00, DLL=0x36, DLH=0; LCR=0x39; baud ≈115740.7 bps.
Stimulus: AHB write TBR=0x15 (from 0x55); UART VIP monitors uart_txd.
Expected: Start=0, 6 LSB-first bits (0x15), EVEN parity (one bit), 1 stop bit(s)=1.
Checker / PASS: AHB write completes; UART monitor checks decoded value, parity, stop count and bit period; TX scoreboard compares exactly one expected vs observed frame.
Coverage: TX × WLS6 × EVEN × STB1 × OSM16.</x:v>
      </x:c>
      <x:c r="D46" s="17" t="str">
        <x:v>uart_tx_w6_even_s1_osm16_test</x:v>
      </x:c>
      <x:c r="E46" s="17" t="str">
        <x:v>Medium</x:v>
      </x:c>
      <x:c r="F46" s="17" t="str">
        <x:v>Directed</x:v>
      </x:c>
      <x:c r="G46" s="17"/>
      <x:c r="H46" s="23" t="inlineStr">
        <x:is>
          <x:t>Fail</x:t>
        </x:is>
      </x:c>
      <x:c r="I46" s="23" t="str">
        <x:v>M2</x:v>
      </x:c>
      <x:c r="J46" s="17" t="inlineStr">
        <x:is>
          <x:t>Spec §1.6.2 + §2.2.1/2.2.4; programmed baud = 100MHz/(54×16). EPS immaterial if PEN=0.
Validation 2026-10-24: FAIL, Questa2021.2_1 seed1. Data comparison occurred, but DUT TX parity differs from the active-width even/odd reference. Reset/masking cases also depend on correct TX parity. Reproducer: uart_tx_w6_even_s1_osm16_test.</x:t>
        </x:is>
      </x:c>
    </x:row>
    <x:row r="47" ht="210" customHeight="1">
      <x:c r="A47" s="22" t="str">
        <x:v>4.18</x:v>
      </x:c>
      <x:c r="B47" s="17" t="str">
        <x:v>TX 6E1 / 13×</x:v>
      </x:c>
      <x:c r="C47" s="17" t="str">
        <x:v>Objective: Verify TX frame with 6-bit even parity, 1 stop bit(s) and 13× sampling.
Setup: Reset; HCLK=100MHz; MDR=0x01, DLL=0x43, DLH=0; LCR=0x39; baud ≈114810.6 bps.
Stimulus: AHB write TBR=0x15 (from 0x55); UART VIP monitors uart_txd.
Expected: Start=0, 6 LSB-first bits (0x15), EVEN parity (one bit), 1 stop bit(s)=1.
Checker / PASS: AHB write completes; UART monitor checks decoded value, parity, stop count and bit period; TX scoreboard compares exactly one expected vs observed frame.
Coverage: TX × WLS6 × EVEN × STB1 × OSM13.</x:v>
      </x:c>
      <x:c r="D47" s="17" t="str">
        <x:v>uart_tx_w6_even_s1_osm13_test</x:v>
      </x:c>
      <x:c r="E47" s="17" t="str">
        <x:v>Medium</x:v>
      </x:c>
      <x:c r="F47" s="17" t="str">
        <x:v>Directed</x:v>
      </x:c>
      <x:c r="G47" s="17"/>
      <x:c r="H47" s="23" t="inlineStr">
        <x:is>
          <x:t>Fail</x:t>
        </x:is>
      </x:c>
      <x:c r="I47" s="23" t="str">
        <x:v>M2</x:v>
      </x:c>
      <x:c r="J47" s="17" t="inlineStr">
        <x:is>
          <x:t>Spec §1.6.2 + §2.2.1/2.2.4; programmed baud = 100MHz/(67×13). EPS immaterial if PEN=0.
Validation 2026-10-24: FAIL, Questa2021.2_1 seed1. Data comparison occurred, but DUT TX parity differs from the active-width even/odd reference. Reset/masking cases also depend on correct TX parity. Reproducer: uart_tx_w6_even_s1_osm13_test.</x:t>
        </x:is>
      </x:c>
    </x:row>
    <x:row r="48" ht="210" customHeight="1">
      <x:c r="A48" s="22" t="str">
        <x:v>4.19</x:v>
      </x:c>
      <x:c r="B48" s="17" t="str">
        <x:v>TX 6E2 / 16×</x:v>
      </x:c>
      <x:c r="C48" s="17" t="inlineStr">
        <x:is>
          <x:t>Objective: Verify TX frame with 6-bit even parity, 2 stop bit(s) and 16× sampling.
Setup: Reset; HCLK=100MHz; MDR=0x00, DLL=0x36, DLH=0; LCR=0x3D; baud ≈115740.7 bps.
Stimulus: Queue two identical TBR payloads for this fixed format before the first frame finishes; UART VIP monitors both frames and the intervening stop interval.
Expected: Start=0, 6 LSB-first bits (0x15), EVEN parity (one bit), 2 stop bit(s)=1.
Checker / PASS: AHB write completes; UART monitor checks decoded value, parity, stop count and bit period; TX scoreboard compares exactly two expected vs observed frames.
Coverage: TX × WLS6 × EVEN × STB2 × OSM16.
Stop-width check: A queued second frame exposes a too-short two-stop-bit interval; this remains one fixed-format scenario.</x:t>
        </x:is>
      </x:c>
      <x:c r="D48" s="17" t="str">
        <x:v>uart_tx_w6_even_s2_osm16_test</x:v>
      </x:c>
      <x:c r="E48" s="17" t="str">
        <x:v>Medium</x:v>
      </x:c>
      <x:c r="F48" s="17" t="str">
        <x:v>Directed</x:v>
      </x:c>
      <x:c r="G48" s="17"/>
      <x:c r="H48" s="23" t="inlineStr">
        <x:is>
          <x:t>Fail</x:t>
        </x:is>
      </x:c>
      <x:c r="I48" s="23" t="str">
        <x:v>M2</x:v>
      </x:c>
      <x:c r="J48" s="17" t="inlineStr">
        <x:is>
          <x:t>Spec §1.6.2 + §2.2.1/2.2.4; programmed baud = 100MHz/(54×16). EPS immaterial if PEN=0.
Validation 2026-10-24: FAIL, Questa2021.2_1 seed1. Data comparison occurred, but DUT TX parity differs from the active-width even/odd reference. Reset/masking cases also depend on correct TX parity. Reproducer: uart_tx_w6_even_s2_osm16_test.</x:t>
        </x:is>
      </x:c>
    </x:row>
    <x:row r="49" ht="210" customHeight="1">
      <x:c r="A49" s="22" t="str">
        <x:v>4.20</x:v>
      </x:c>
      <x:c r="B49" s="17" t="str">
        <x:v>TX 6E2 / 13×</x:v>
      </x:c>
      <x:c r="C49" s="17" t="inlineStr">
        <x:is>
          <x:t>Objective: Verify TX frame with 6-bit even parity, 2 stop bit(s) and 13× sampling.
Setup: Reset; HCLK=100MHz; MDR=0x01, DLL=0x43, DLH=0; LCR=0x3D; baud ≈114810.6 bps.
Stimulus: Queue two identical TBR payloads for this fixed format before the first frame finishes; UART VIP monitors both frames and the intervening stop interval.
Expected: Start=0, 6 LSB-first bits (0x15), EVEN parity (one bit), 2 stop bit(s)=1.
Checker / PASS: AHB write completes; UART monitor checks decoded value, parity, stop count and bit period; TX scoreboard compares exactly two expected vs observed frames.
Coverage: TX × WLS6 × EVEN × STB2 × OSM13.
Stop-width check: A queued second frame exposes a too-short two-stop-bit interval; this remains one fixed-format scenario.</x:t>
        </x:is>
      </x:c>
      <x:c r="D49" s="17" t="str">
        <x:v>uart_tx_w6_even_s2_osm13_test</x:v>
      </x:c>
      <x:c r="E49" s="17" t="str">
        <x:v>Medium</x:v>
      </x:c>
      <x:c r="F49" s="17" t="str">
        <x:v>Directed</x:v>
      </x:c>
      <x:c r="G49" s="17"/>
      <x:c r="H49" s="23" t="inlineStr">
        <x:is>
          <x:t>Fail</x:t>
        </x:is>
      </x:c>
      <x:c r="I49" s="23" t="str">
        <x:v>M2</x:v>
      </x:c>
      <x:c r="J49" s="17" t="inlineStr">
        <x:is>
          <x:t>Spec §1.6.2 + §2.2.1/2.2.4; programmed baud = 100MHz/(67×13). EPS immaterial if PEN=0.
Validation 2026-10-24: FAIL, Questa2021.2_1 seed1. Data comparison occurred, but DUT TX parity differs from the active-width even/odd reference. Reset/masking cases also depend on correct TX parity. Reproducer: uart_tx_w6_even_s2_osm13_test.</x:t>
        </x:is>
      </x:c>
    </x:row>
    <x:row r="50" ht="210" customHeight="1">
      <x:c r="A50" s="22" t="str">
        <x:v>4.21</x:v>
      </x:c>
      <x:c r="B50" s="17" t="str">
        <x:v>TX 6O1 / 16×</x:v>
      </x:c>
      <x:c r="C50" s="17" t="str">
        <x:v>Objective: Verify TX frame with 6-bit odd parity, 1 stop bit(s) and 16× sampling.
Setup: Reset; HCLK=100MHz; MDR=0x00, DLL=0x36, DLH=0; LCR=0x29; baud ≈115740.7 bps.
Stimulus: AHB write TBR=0x15 (from 0x55); UART VIP monitors uart_txd.
Expected: Start=0, 6 LSB-first bits (0x15), ODD parity (one bit), 1 stop bit(s)=1.
Checker / PASS: AHB write completes; UART monitor checks decoded value, parity, stop count and bit period; TX scoreboard compares exactly one expected vs observed frame.
Coverage: TX × WLS6 × ODD × STB1 × OSM16.</x:v>
      </x:c>
      <x:c r="D50" s="17" t="str">
        <x:v>uart_tx_w6_odd_s1_osm16_test</x:v>
      </x:c>
      <x:c r="E50" s="17" t="str">
        <x:v>Medium</x:v>
      </x:c>
      <x:c r="F50" s="17" t="str">
        <x:v>Directed</x:v>
      </x:c>
      <x:c r="G50" s="17"/>
      <x:c r="H50" s="23" t="inlineStr">
        <x:is>
          <x:t>Fail</x:t>
        </x:is>
      </x:c>
      <x:c r="I50" s="23" t="str">
        <x:v>M2</x:v>
      </x:c>
      <x:c r="J50" s="17" t="inlineStr">
        <x:is>
          <x:t>Spec §1.6.2 + §2.2.1/2.2.4; programmed baud = 100MHz/(54×16). EPS immaterial if PEN=0.
Validation 2026-10-24: FAIL, Questa2021.2_1 seed1. Data comparison occurred, but DUT TX parity differs from the active-width even/odd reference. Reset/masking cases also depend on correct TX parity. Reproducer: uart_tx_w6_odd_s1_osm16_test.</x:t>
        </x:is>
      </x:c>
    </x:row>
    <x:row r="51" ht="210" customHeight="1">
      <x:c r="A51" s="22" t="str">
        <x:v>4.22</x:v>
      </x:c>
      <x:c r="B51" s="17" t="str">
        <x:v>TX 6O1 / 13×</x:v>
      </x:c>
      <x:c r="C51" s="17" t="str">
        <x:v>Objective: Verify TX frame with 6-bit odd parity, 1 stop bit(s) and 13× sampling.
Setup: Reset; HCLK=100MHz; MDR=0x01, DLL=0x43, DLH=0; LCR=0x29; baud ≈114810.6 bps.
Stimulus: AHB write TBR=0x15 (from 0x55); UART VIP monitors uart_txd.
Expected: Start=0, 6 LSB-first bits (0x15), ODD parity (one bit), 1 stop bit(s)=1.
Checker / PASS: AHB write completes; UART monitor checks decoded value, parity, stop count and bit period; TX scoreboard compares exactly one expected vs observed frame.
Coverage: TX × WLS6 × ODD × STB1 × OSM13.</x:v>
      </x:c>
      <x:c r="D51" s="17" t="str">
        <x:v>uart_tx_w6_odd_s1_osm13_test</x:v>
      </x:c>
      <x:c r="E51" s="17" t="str">
        <x:v>Medium</x:v>
      </x:c>
      <x:c r="F51" s="17" t="str">
        <x:v>Directed</x:v>
      </x:c>
      <x:c r="G51" s="17"/>
      <x:c r="H51" s="23" t="inlineStr">
        <x:is>
          <x:t>Fail</x:t>
        </x:is>
      </x:c>
      <x:c r="I51" s="23" t="str">
        <x:v>M2</x:v>
      </x:c>
      <x:c r="J51" s="17" t="inlineStr">
        <x:is>
          <x:t>Spec §1.6.2 + §2.2.1/2.2.4; programmed baud = 100MHz/(67×13). EPS immaterial if PEN=0.
Validation 2026-10-24: FAIL, Questa2021.2_1 seed1. Data comparison occurred, but DUT TX parity differs from the active-width even/odd reference. Reset/masking cases also depend on correct TX parity. Reproducer: uart_tx_w6_odd_s1_osm13_test.</x:t>
        </x:is>
      </x:c>
    </x:row>
    <x:row r="52" ht="210" customHeight="1">
      <x:c r="A52" s="22" t="str">
        <x:v>4.23</x:v>
      </x:c>
      <x:c r="B52" s="17" t="str">
        <x:v>TX 6O2 / 16×</x:v>
      </x:c>
      <x:c r="C52" s="17" t="inlineStr">
        <x:is>
          <x:t>Objective: Verify TX frame with 6-bit odd parity, 2 stop bit(s) and 16× sampling.
Setup: Reset; HCLK=100MHz; MDR=0x00, DLL=0x36, DLH=0; LCR=0x2D; baud ≈115740.7 bps.
Stimulus: Queue two identical TBR payloads for this fixed format before the first frame finishes; UART VIP monitors both frames and the intervening stop interval.
Expected: Start=0, 6 LSB-first bits (0x15), ODD parity (one bit), 2 stop bit(s)=1.
Checker / PASS: AHB write completes; UART monitor checks decoded value, parity, stop count and bit period; TX scoreboard compares exactly two expected vs observed frames.
Coverage: TX × WLS6 × ODD × STB2 × OSM16.
Stop-width check: A queued second frame exposes a too-short two-stop-bit interval; this remains one fixed-format scenario.</x:t>
        </x:is>
      </x:c>
      <x:c r="D52" s="17" t="str">
        <x:v>uart_tx_w6_odd_s2_osm16_test</x:v>
      </x:c>
      <x:c r="E52" s="17" t="str">
        <x:v>Medium</x:v>
      </x:c>
      <x:c r="F52" s="17" t="str">
        <x:v>Directed</x:v>
      </x:c>
      <x:c r="G52" s="17"/>
      <x:c r="H52" s="23" t="inlineStr">
        <x:is>
          <x:t>Fail</x:t>
        </x:is>
      </x:c>
      <x:c r="I52" s="23" t="str">
        <x:v>M2</x:v>
      </x:c>
      <x:c r="J52" s="17" t="inlineStr">
        <x:is>
          <x:t>Spec §1.6.2 + §2.2.1/2.2.4; programmed baud = 100MHz/(54×16). EPS immaterial if PEN=0.
Validation 2026-10-24: FAIL, Questa2021.2_1 seed1. Data comparison occurred, but DUT TX parity differs from the active-width even/odd reference. Reset/masking cases also depend on correct TX parity. Reproducer: uart_tx_w6_odd_s2_osm16_test.</x:t>
        </x:is>
      </x:c>
    </x:row>
    <x:row r="53" ht="210" customHeight="1">
      <x:c r="A53" s="22" t="str">
        <x:v>4.24</x:v>
      </x:c>
      <x:c r="B53" s="17" t="str">
        <x:v>TX 6O2 / 13×</x:v>
      </x:c>
      <x:c r="C53" s="17" t="inlineStr">
        <x:is>
          <x:t>Objective: Verify TX frame with 6-bit odd parity, 2 stop bit(s) and 13× sampling.
Setup: Reset; HCLK=100MHz; MDR=0x01, DLL=0x43, DLH=0; LCR=0x2D; baud ≈114810.6 bps.
Stimulus: Queue two identical TBR payloads for this fixed format before the first frame finishes; UART VIP monitors both frames and the intervening stop interval.
Expected: Start=0, 6 LSB-first bits (0x15), ODD parity (one bit), 2 stop bit(s)=1.
Checker / PASS: AHB write completes; UART monitor checks decoded value, parity, stop count and bit period; TX scoreboard compares exactly two expected vs observed frames.
Coverage: TX × WLS6 × ODD × STB2 × OSM13.
Stop-width check: A queued second frame exposes a too-short two-stop-bit interval; this remains one fixed-format scenario.</x:t>
        </x:is>
      </x:c>
      <x:c r="D53" s="17" t="str">
        <x:v>uart_tx_w6_odd_s2_osm13_test</x:v>
      </x:c>
      <x:c r="E53" s="17" t="str">
        <x:v>Medium</x:v>
      </x:c>
      <x:c r="F53" s="17" t="str">
        <x:v>Directed</x:v>
      </x:c>
      <x:c r="G53" s="17"/>
      <x:c r="H53" s="23" t="inlineStr">
        <x:is>
          <x:t>Fail</x:t>
        </x:is>
      </x:c>
      <x:c r="I53" s="23" t="str">
        <x:v>M2</x:v>
      </x:c>
      <x:c r="J53" s="17" t="inlineStr">
        <x:is>
          <x:t>Spec §1.6.2 + §2.2.1/2.2.4; programmed baud = 100MHz/(67×13). EPS immaterial if PEN=0.
Validation 2026-10-24: FAIL, Questa2021.2_1 seed1. Data comparison occurred, but DUT TX parity differs from the active-width even/odd reference. Reset/masking cases also depend on correct TX parity. Reproducer: uart_tx_w6_odd_s2_osm13_test.</x:t>
        </x:is>
      </x:c>
    </x:row>
    <x:row r="54" ht="210" customHeight="1">
      <x:c r="A54" s="22" t="str">
        <x:v>4.25</x:v>
      </x:c>
      <x:c r="B54" s="17" t="str">
        <x:v>TX 7N1 / 16×</x:v>
      </x:c>
      <x:c r="C54" s="17" t="str">
        <x:v>Objective: Verify TX frame with 7-bit none parity, 1 stop bit(s) and 16× sampling.
Setup: Reset; HCLK=100MHz; MDR=0x00, DLL=0x36, DLH=0; LCR=0x22; baud ≈115740.7 bps.
Stimulus: AHB write TBR=0x55 (from 0x55); UART VIP monitors uart_txd.
Expected: Start=0, 7 LSB-first bits (0x55), NONE parity (omitted), 1 stop bit(s)=1.
Checker / PASS: AHB write completes; UART monitor checks decoded value, parity, stop count and bit period; TX scoreboard compares exactly one expected vs observed frame.
Coverage: TX × WLS7 × NONE × STB1 × OSM16.</x:v>
      </x:c>
      <x:c r="D54" s="17" t="str">
        <x:v>uart_tx_w7_none_s1_osm16_test</x:v>
      </x:c>
      <x:c r="E54" s="17" t="str">
        <x:v>Medium</x:v>
      </x:c>
      <x:c r="F54" s="17" t="str">
        <x:v>Directed</x:v>
      </x:c>
      <x:c r="G54" s="17"/>
      <x:c r="H54" s="23" t="inlineStr">
        <x:is>
          <x:t>Pass</x:t>
        </x:is>
      </x:c>
      <x:c r="I54" s="23" t="str">
        <x:v>M2</x:v>
      </x:c>
      <x:c r="J54" s="17" t="inlineStr">
        <x:is>
          <x:t>Spec §1.6.2 + §2.2.1/2.2.4; programmed baud = 100MHz/(54×16). EPS immaterial if PEN=0.
Validation 2026-10-24: PASS, Questa2021.2_1 seed1; completed scenario checks and required scoreboard comparisons.</x:t>
        </x:is>
      </x:c>
    </x:row>
    <x:row r="55" ht="210" customHeight="1">
      <x:c r="A55" s="22" t="str">
        <x:v>4.26</x:v>
      </x:c>
      <x:c r="B55" s="17" t="str">
        <x:v>TX 7N1 / 13×</x:v>
      </x:c>
      <x:c r="C55" s="17" t="str">
        <x:v>Objective: Verify TX frame with 7-bit none parity, 1 stop bit(s) and 13× sampling.
Setup: Reset; HCLK=100MHz; MDR=0x01, DLL=0x43, DLH=0; LCR=0x22; baud ≈114810.6 bps.
Stimulus: AHB write TBR=0x55 (from 0x55); UART VIP monitors uart_txd.
Expected: Start=0, 7 LSB-first bits (0x55), NONE parity (omitted), 1 stop bit(s)=1.
Checker / PASS: AHB write completes; UART monitor checks decoded value, parity, stop count and bit period; TX scoreboard compares exactly one expected vs observed frame.
Coverage: TX × WLS7 × NONE × STB1 × OSM13.</x:v>
      </x:c>
      <x:c r="D55" s="17" t="str">
        <x:v>uart_tx_w7_none_s1_osm13_test</x:v>
      </x:c>
      <x:c r="E55" s="17" t="str">
        <x:v>Medium</x:v>
      </x:c>
      <x:c r="F55" s="17" t="str">
        <x:v>Directed</x:v>
      </x:c>
      <x:c r="G55" s="17"/>
      <x:c r="H55" s="23" t="inlineStr">
        <x:is>
          <x:t>Pass</x:t>
        </x:is>
      </x:c>
      <x:c r="I55" s="23" t="str">
        <x:v>M2</x:v>
      </x:c>
      <x:c r="J55" s="17" t="inlineStr">
        <x:is>
          <x:t>Spec §1.6.2 + §2.2.1/2.2.4; programmed baud = 100MHz/(67×13). EPS immaterial if PEN=0.
Validation 2026-10-24: PASS, Questa2021.2_1 seed1; completed scenario checks and required scoreboard comparisons.</x:t>
        </x:is>
      </x:c>
    </x:row>
    <x:row r="56" ht="210" customHeight="1">
      <x:c r="A56" s="22" t="str">
        <x:v>4.27</x:v>
      </x:c>
      <x:c r="B56" s="17" t="str">
        <x:v>TX 7N2 / 16×</x:v>
      </x:c>
      <x:c r="C56" s="17" t="inlineStr">
        <x:is>
          <x:t>Objective: Verify TX frame with 7-bit none parity, 2 stop bit(s) and 16× sampling.
Setup: Reset; HCLK=100MHz; MDR=0x00, DLL=0x36, DLH=0; LCR=0x26; baud ≈115740.7 bps.
Stimulus: Queue two identical TBR payloads for this fixed format before the first frame finishes; UART VIP monitors both frames and the intervening stop interval.
Expected: Start=0, 7 LSB-first bits (0x55), NONE parity (omitted), 2 stop bit(s)=1.
Checker / PASS: AHB write completes; UART monitor checks decoded value, parity, stop count and bit period; TX scoreboard compares exactly two expected vs observed frames.
Coverage: TX × WLS7 × NONE × STB2 × OSM16.
Stop-width check: A queued second frame exposes a too-short two-stop-bit interval; this remains one fixed-format scenario.</x:t>
        </x:is>
      </x:c>
      <x:c r="D56" s="17" t="str">
        <x:v>uart_tx_w7_none_s2_osm16_test</x:v>
      </x:c>
      <x:c r="E56" s="17" t="str">
        <x:v>Medium</x:v>
      </x:c>
      <x:c r="F56" s="17" t="str">
        <x:v>Directed</x:v>
      </x:c>
      <x:c r="G56" s="17"/>
      <x:c r="H56" s="23" t="inlineStr">
        <x:is>
          <x:t>Pass</x:t>
        </x:is>
      </x:c>
      <x:c r="I56" s="23" t="str">
        <x:v>M2</x:v>
      </x:c>
      <x:c r="J56" s="17" t="inlineStr">
        <x:is>
          <x:t>Spec §1.6.2 + §2.2.1/2.2.4; programmed baud = 100MHz/(54×16). EPS immaterial if PEN=0.
Validation 2026-10-24: PASS, Questa2021.2_1 seed1; completed scenario checks and required scoreboard comparisons.</x:t>
        </x:is>
      </x:c>
    </x:row>
    <x:row r="57" ht="210" customHeight="1">
      <x:c r="A57" s="22" t="str">
        <x:v>4.28</x:v>
      </x:c>
      <x:c r="B57" s="17" t="str">
        <x:v>TX 7N2 / 13×</x:v>
      </x:c>
      <x:c r="C57" s="17" t="inlineStr">
        <x:is>
          <x:t>Objective: Verify TX frame with 7-bit none parity, 2 stop bit(s) and 13× sampling.
Setup: Reset; HCLK=100MHz; MDR=0x01, DLL=0x43, DLH=0; LCR=0x26; baud ≈114810.6 bps.
Stimulus: Queue two identical TBR payloads for this fixed format before the first frame finishes; UART VIP monitors both frames and the intervening stop interval.
Expected: Start=0, 7 LSB-first bits (0x55), NONE parity (omitted), 2 stop bit(s)=1.
Checker / PASS: AHB write completes; UART monitor checks decoded value, parity, stop count and bit period; TX scoreboard compares exactly two expected vs observed frames.
Coverage: TX × WLS7 × NONE × STB2 × OSM13.
Stop-width check: A queued second frame exposes a too-short two-stop-bit interval; this remains one fixed-format scenario.</x:t>
        </x:is>
      </x:c>
      <x:c r="D57" s="17" t="str">
        <x:v>uart_tx_w7_none_s2_osm13_test</x:v>
      </x:c>
      <x:c r="E57" s="17" t="str">
        <x:v>Medium</x:v>
      </x:c>
      <x:c r="F57" s="17" t="str">
        <x:v>Directed</x:v>
      </x:c>
      <x:c r="G57" s="17"/>
      <x:c r="H57" s="23" t="inlineStr">
        <x:is>
          <x:t>Pass</x:t>
        </x:is>
      </x:c>
      <x:c r="I57" s="23" t="str">
        <x:v>M2</x:v>
      </x:c>
      <x:c r="J57" s="17" t="inlineStr">
        <x:is>
          <x:t>Spec §1.6.2 + §2.2.1/2.2.4; programmed baud = 100MHz/(67×13). EPS immaterial if PEN=0.
Validation 2026-10-24: PASS, Questa2021.2_1 seed1; completed scenario checks and required scoreboard comparisons.</x:t>
        </x:is>
      </x:c>
    </x:row>
    <x:row r="58" ht="210" customHeight="1">
      <x:c r="A58" s="22" t="str">
        <x:v>4.29</x:v>
      </x:c>
      <x:c r="B58" s="17" t="str">
        <x:v>TX 7E1 / 16×</x:v>
      </x:c>
      <x:c r="C58" s="17" t="str">
        <x:v>Objective: Verify TX frame with 7-bit even parity, 1 stop bit(s) and 16× sampling.
Setup: Reset; HCLK=100MHz; MDR=0x00, DLL=0x36, DLH=0; LCR=0x3A; baud ≈115740.7 bps.
Stimulus: AHB write TBR=0x55 (from 0x55); UART VIP monitors uart_txd.
Expected: Start=0, 7 LSB-first bits (0x55), EVEN parity (one bit), 1 stop bit(s)=1.
Checker / PASS: AHB write completes; UART monitor checks decoded value, parity, stop count and bit period; TX scoreboard compares exactly one expected vs observed frame.
Coverage: TX × WLS7 × EVEN × STB1 × OSM16.</x:v>
      </x:c>
      <x:c r="D58" s="17" t="str">
        <x:v>uart_tx_w7_even_s1_osm16_test</x:v>
      </x:c>
      <x:c r="E58" s="17" t="str">
        <x:v>Medium</x:v>
      </x:c>
      <x:c r="F58" s="17" t="str">
        <x:v>Directed</x:v>
      </x:c>
      <x:c r="G58" s="17"/>
      <x:c r="H58" s="23" t="inlineStr">
        <x:is>
          <x:t>Fail</x:t>
        </x:is>
      </x:c>
      <x:c r="I58" s="23" t="str">
        <x:v>M2</x:v>
      </x:c>
      <x:c r="J58" s="17" t="inlineStr">
        <x:is>
          <x:t>Spec §1.6.2 + §2.2.1/2.2.4; programmed baud = 100MHz/(54×16). EPS immaterial if PEN=0.
Validation 2026-10-24: FAIL, Questa2021.2_1 seed1. Data comparison occurred, but DUT TX parity differs from the active-width even/odd reference. Reset/masking cases also depend on correct TX parity. Reproducer: uart_tx_w7_even_s1_osm16_test.</x:t>
        </x:is>
      </x:c>
    </x:row>
    <x:row r="59" ht="210" customHeight="1">
      <x:c r="A59" s="22" t="str">
        <x:v>4.30</x:v>
      </x:c>
      <x:c r="B59" s="17" t="str">
        <x:v>TX 7E1 / 13×</x:v>
      </x:c>
      <x:c r="C59" s="17" t="str">
        <x:v>Objective: Verify TX frame with 7-bit even parity, 1 stop bit(s) and 13× sampling.
Setup: Reset; HCLK=100MHz; MDR=0x01, DLL=0x43, DLH=0; LCR=0x3A; baud ≈114810.6 bps.
Stimulus: AHB write TBR=0x55 (from 0x55); UART VIP monitors uart_txd.
Expected: Start=0, 7 LSB-first bits (0x55), EVEN parity (one bit), 1 stop bit(s)=1.
Checker / PASS: AHB write completes; UART monitor checks decoded value, parity, stop count and bit period; TX scoreboard compares exactly one expected vs observed frame.
Coverage: TX × WLS7 × EVEN × STB1 × OSM13.</x:v>
      </x:c>
      <x:c r="D59" s="17" t="str">
        <x:v>uart_tx_w7_even_s1_osm13_test</x:v>
      </x:c>
      <x:c r="E59" s="17" t="str">
        <x:v>Medium</x:v>
      </x:c>
      <x:c r="F59" s="17" t="str">
        <x:v>Directed</x:v>
      </x:c>
      <x:c r="G59" s="17"/>
      <x:c r="H59" s="23" t="inlineStr">
        <x:is>
          <x:t>Fail</x:t>
        </x:is>
      </x:c>
      <x:c r="I59" s="23" t="str">
        <x:v>M2</x:v>
      </x:c>
      <x:c r="J59" s="17" t="inlineStr">
        <x:is>
          <x:t>Spec §1.6.2 + §2.2.1/2.2.4; programmed baud = 100MHz/(67×13). EPS immaterial if PEN=0.
Validation 2026-10-24: FAIL, Questa2021.2_1 seed1. Data comparison occurred, but DUT TX parity differs from the active-width even/odd reference. Reset/masking cases also depend on correct TX parity. Reproducer: uart_tx_w7_even_s1_osm13_test.</x:t>
        </x:is>
      </x:c>
    </x:row>
    <x:row r="60" ht="210" customHeight="1">
      <x:c r="A60" s="22" t="str">
        <x:v>4.31</x:v>
      </x:c>
      <x:c r="B60" s="17" t="str">
        <x:v>TX 7E2 / 16×</x:v>
      </x:c>
      <x:c r="C60" s="17" t="inlineStr">
        <x:is>
          <x:t>Objective: Verify TX frame with 7-bit even parity, 2 stop bit(s) and 16× sampling.
Setup: Reset; HCLK=100MHz; MDR=0x00, DLL=0x36, DLH=0; LCR=0x3E; baud ≈115740.7 bps.
Stimulus: Queue two identical TBR payloads for this fixed format before the first frame finishes; UART VIP monitors both frames and the intervening stop interval.
Expected: Start=0, 7 LSB-first bits (0x55), EVEN parity (one bit), 2 stop bit(s)=1.
Checker / PASS: AHB write completes; UART monitor checks decoded value, parity, stop count and bit period; TX scoreboard compares exactly two expected vs observed frames.
Coverage: TX × WLS7 × EVEN × STB2 × OSM16.
Stop-width check: A queued second frame exposes a too-short two-stop-bit interval; this remains one fixed-format scenario.</x:t>
        </x:is>
      </x:c>
      <x:c r="D60" s="17" t="str">
        <x:v>uart_tx_w7_even_s2_osm16_test</x:v>
      </x:c>
      <x:c r="E60" s="17" t="str">
        <x:v>Medium</x:v>
      </x:c>
      <x:c r="F60" s="17" t="str">
        <x:v>Directed</x:v>
      </x:c>
      <x:c r="G60" s="17"/>
      <x:c r="H60" s="23" t="inlineStr">
        <x:is>
          <x:t>Fail</x:t>
        </x:is>
      </x:c>
      <x:c r="I60" s="23" t="str">
        <x:v>M2</x:v>
      </x:c>
      <x:c r="J60" s="17" t="inlineStr">
        <x:is>
          <x:t>Spec §1.6.2 + §2.2.1/2.2.4; programmed baud = 100MHz/(54×16). EPS immaterial if PEN=0.
Validation 2026-10-24: FAIL, Questa2021.2_1 seed1. Data comparison occurred, but DUT TX parity differs from the active-width even/odd reference. Reset/masking cases also depend on correct TX parity. Reproducer: uart_tx_w7_even_s2_osm16_test.</x:t>
        </x:is>
      </x:c>
    </x:row>
    <x:row r="61" ht="210" customHeight="1">
      <x:c r="A61" s="22" t="str">
        <x:v>4.32</x:v>
      </x:c>
      <x:c r="B61" s="17" t="str">
        <x:v>TX 7E2 / 13×</x:v>
      </x:c>
      <x:c r="C61" s="17" t="inlineStr">
        <x:is>
          <x:t>Objective: Verify TX frame with 7-bit even parity, 2 stop bit(s) and 13× sampling.
Setup: Reset; HCLK=100MHz; MDR=0x01, DLL=0x43, DLH=0; LCR=0x3E; baud ≈114810.6 bps.
Stimulus: Queue two identical TBR payloads for this fixed format before the first frame finishes; UART VIP monitors both frames and the intervening stop interval.
Expected: Start=0, 7 LSB-first bits (0x55), EVEN parity (one bit), 2 stop bit(s)=1.
Checker / PASS: AHB write completes; UART monitor checks decoded value, parity, stop count and bit period; TX scoreboard compares exactly two expected vs observed frames.
Coverage: TX × WLS7 × EVEN × STB2 × OSM13.
Stop-width check: A queued second frame exposes a too-short two-stop-bit interval; this remains one fixed-format scenario.</x:t>
        </x:is>
      </x:c>
      <x:c r="D61" s="17" t="str">
        <x:v>uart_tx_w7_even_s2_osm13_test</x:v>
      </x:c>
      <x:c r="E61" s="17" t="str">
        <x:v>Medium</x:v>
      </x:c>
      <x:c r="F61" s="17" t="str">
        <x:v>Directed</x:v>
      </x:c>
      <x:c r="G61" s="17"/>
      <x:c r="H61" s="23" t="inlineStr">
        <x:is>
          <x:t>Fail</x:t>
        </x:is>
      </x:c>
      <x:c r="I61" s="23" t="str">
        <x:v>M2</x:v>
      </x:c>
      <x:c r="J61" s="17" t="inlineStr">
        <x:is>
          <x:t>Spec §1.6.2 + §2.2.1/2.2.4; programmed baud = 100MHz/(67×13). EPS immaterial if PEN=0.
Validation 2026-10-24: FAIL, Questa2021.2_1 seed1. Data comparison occurred, but DUT TX parity differs from the active-width even/odd reference. Reset/masking cases also depend on correct TX parity. Reproducer: uart_tx_w7_even_s2_osm13_test.</x:t>
        </x:is>
      </x:c>
    </x:row>
    <x:row r="62" ht="210" customHeight="1">
      <x:c r="A62" s="22" t="str">
        <x:v>4.33</x:v>
      </x:c>
      <x:c r="B62" s="17" t="str">
        <x:v>TX 7O1 / 16×</x:v>
      </x:c>
      <x:c r="C62" s="17" t="str">
        <x:v>Objective: Verify TX frame with 7-bit odd parity, 1 stop bit(s) and 16× sampling.
Setup: Reset; HCLK=100MHz; MDR=0x00, DLL=0x36, DLH=0; LCR=0x2A; baud ≈115740.7 bps.
Stimulus: AHB write TBR=0x55 (from 0x55); UART VIP monitors uart_txd.
Expected: Start=0, 7 LSB-first bits (0x55), ODD parity (one bit), 1 stop bit(s)=1.
Checker / PASS: AHB write completes; UART monitor checks decoded value, parity, stop count and bit period; TX scoreboard compares exactly one expected vs observed frame.
Coverage: TX × WLS7 × ODD × STB1 × OSM16.</x:v>
      </x:c>
      <x:c r="D62" s="17" t="str">
        <x:v>uart_tx_w7_odd_s1_osm16_test</x:v>
      </x:c>
      <x:c r="E62" s="17" t="str">
        <x:v>Medium</x:v>
      </x:c>
      <x:c r="F62" s="17" t="str">
        <x:v>Directed</x:v>
      </x:c>
      <x:c r="G62" s="17"/>
      <x:c r="H62" s="23" t="inlineStr">
        <x:is>
          <x:t>Fail</x:t>
        </x:is>
      </x:c>
      <x:c r="I62" s="23" t="str">
        <x:v>M2</x:v>
      </x:c>
      <x:c r="J62" s="17" t="inlineStr">
        <x:is>
          <x:t>Spec §1.6.2 + §2.2.1/2.2.4; programmed baud = 100MHz/(54×16). EPS immaterial if PEN=0.
Validation 2026-10-24: FAIL, Questa2021.2_1 seed1. Data comparison occurred, but DUT TX parity differs from the active-width even/odd reference. Reset/masking cases also depend on correct TX parity. Reproducer: uart_tx_w7_odd_s1_osm16_test.</x:t>
        </x:is>
      </x:c>
    </x:row>
    <x:row r="63" ht="210" customHeight="1">
      <x:c r="A63" s="22" t="str">
        <x:v>4.34</x:v>
      </x:c>
      <x:c r="B63" s="17" t="str">
        <x:v>TX 7O1 / 13×</x:v>
      </x:c>
      <x:c r="C63" s="17" t="str">
        <x:v>Objective: Verify TX frame with 7-bit odd parity, 1 stop bit(s) and 13× sampling.
Setup: Reset; HCLK=100MHz; MDR=0x01, DLL=0x43, DLH=0; LCR=0x2A; baud ≈114810.6 bps.
Stimulus: AHB write TBR=0x55 (from 0x55); UART VIP monitors uart_txd.
Expected: Start=0, 7 LSB-first bits (0x55), ODD parity (one bit), 1 stop bit(s)=1.
Checker / PASS: AHB write completes; UART monitor checks decoded value, parity, stop count and bit period; TX scoreboard compares exactly one expected vs observed frame.
Coverage: TX × WLS7 × ODD × STB1 × OSM13.</x:v>
      </x:c>
      <x:c r="D63" s="17" t="str">
        <x:v>uart_tx_w7_odd_s1_osm13_test</x:v>
      </x:c>
      <x:c r="E63" s="17" t="str">
        <x:v>Medium</x:v>
      </x:c>
      <x:c r="F63" s="17" t="str">
        <x:v>Directed</x:v>
      </x:c>
      <x:c r="G63" s="17"/>
      <x:c r="H63" s="23" t="inlineStr">
        <x:is>
          <x:t>Fail</x:t>
        </x:is>
      </x:c>
      <x:c r="I63" s="23" t="str">
        <x:v>M2</x:v>
      </x:c>
      <x:c r="J63" s="17" t="inlineStr">
        <x:is>
          <x:t>Spec §1.6.2 + §2.2.1/2.2.4; programmed baud = 100MHz/(67×13). EPS immaterial if PEN=0.
Validation 2026-10-24: FAIL, Questa2021.2_1 seed1. Data comparison occurred, but DUT TX parity differs from the active-width even/odd reference. Reset/masking cases also depend on correct TX parity. Reproducer: uart_tx_w7_odd_s1_osm13_test.</x:t>
        </x:is>
      </x:c>
    </x:row>
    <x:row r="64" ht="210" customHeight="1">
      <x:c r="A64" s="22" t="str">
        <x:v>4.35</x:v>
      </x:c>
      <x:c r="B64" s="17" t="str">
        <x:v>TX 7O2 / 16×</x:v>
      </x:c>
      <x:c r="C64" s="17" t="inlineStr">
        <x:is>
          <x:t>Objective: Verify TX frame with 7-bit odd parity, 2 stop bit(s) and 16× sampling.
Setup: Reset; HCLK=100MHz; MDR=0x00, DLL=0x36, DLH=0; LCR=0x2E; baud ≈115740.7 bps.
Stimulus: Queue two identical TBR payloads for this fixed format before the first frame finishes; UART VIP monitors both frames and the intervening stop interval.
Expected: Start=0, 7 LSB-first bits (0x55), ODD parity (one bit), 2 stop bit(s)=1.
Checker / PASS: AHB write completes; UART monitor checks decoded value, parity, stop count and bit period; TX scoreboard compares exactly two expected vs observed frames.
Coverage: TX × WLS7 × ODD × STB2 × OSM16.
Stop-width check: A queued second frame exposes a too-short two-stop-bit interval; this remains one fixed-format scenario.</x:t>
        </x:is>
      </x:c>
      <x:c r="D64" s="17" t="str">
        <x:v>uart_tx_w7_odd_s2_osm16_test</x:v>
      </x:c>
      <x:c r="E64" s="17" t="str">
        <x:v>Medium</x:v>
      </x:c>
      <x:c r="F64" s="17" t="str">
        <x:v>Directed</x:v>
      </x:c>
      <x:c r="G64" s="17"/>
      <x:c r="H64" s="23" t="inlineStr">
        <x:is>
          <x:t>Fail</x:t>
        </x:is>
      </x:c>
      <x:c r="I64" s="23" t="str">
        <x:v>M2</x:v>
      </x:c>
      <x:c r="J64" s="17" t="inlineStr">
        <x:is>
          <x:t>Spec §1.6.2 + §2.2.1/2.2.4; programmed baud = 100MHz/(54×16). EPS immaterial if PEN=0.
Validation 2026-10-24: FAIL, Questa2021.2_1 seed1. Data comparison occurred, but DUT TX parity differs from the active-width even/odd reference. Reset/masking cases also depend on correct TX parity. Reproducer: uart_tx_w7_odd_s2_osm16_test.</x:t>
        </x:is>
      </x:c>
    </x:row>
    <x:row r="65" ht="210" customHeight="1">
      <x:c r="A65" s="22" t="str">
        <x:v>4.36</x:v>
      </x:c>
      <x:c r="B65" s="17" t="str">
        <x:v>TX 7O2 / 13×</x:v>
      </x:c>
      <x:c r="C65" s="17" t="inlineStr">
        <x:is>
          <x:t>Objective: Verify TX frame with 7-bit odd parity, 2 stop bit(s) and 13× sampling.
Setup: Reset; HCLK=100MHz; MDR=0x01, DLL=0x43, DLH=0; LCR=0x2E; baud ≈114810.6 bps.
Stimulus: Queue two identical TBR payloads for this fixed format before the first frame finishes; UART VIP monitors both frames and the intervening stop interval.
Expected: Start=0, 7 LSB-first bits (0x55), ODD parity (one bit), 2 stop bit(s)=1.
Checker / PASS: AHB write completes; UART monitor checks decoded value, parity, stop count and bit period; TX scoreboard compares exactly two expected vs observed frames.
Coverage: TX × WLS7 × ODD × STB2 × OSM13.
Stop-width check: A queued second frame exposes a too-short two-stop-bit interval; this remains one fixed-format scenario.</x:t>
        </x:is>
      </x:c>
      <x:c r="D65" s="17" t="str">
        <x:v>uart_tx_w7_odd_s2_osm13_test</x:v>
      </x:c>
      <x:c r="E65" s="17" t="str">
        <x:v>Medium</x:v>
      </x:c>
      <x:c r="F65" s="17" t="str">
        <x:v>Directed</x:v>
      </x:c>
      <x:c r="G65" s="17"/>
      <x:c r="H65" s="23" t="inlineStr">
        <x:is>
          <x:t>Fail</x:t>
        </x:is>
      </x:c>
      <x:c r="I65" s="23" t="str">
        <x:v>M2</x:v>
      </x:c>
      <x:c r="J65" s="17" t="inlineStr">
        <x:is>
          <x:t>Spec §1.6.2 + §2.2.1/2.2.4; programmed baud = 100MHz/(67×13). EPS immaterial if PEN=0.
Validation 2026-10-24: FAIL, Questa2021.2_1 seed1. Data comparison occurred, but DUT TX parity differs from the active-width even/odd reference. Reset/masking cases also depend on correct TX parity. Reproducer: uart_tx_w7_odd_s2_osm13_test.</x:t>
        </x:is>
      </x:c>
    </x:row>
    <x:row r="66" ht="210" customHeight="1">
      <x:c r="A66" s="22" t="str">
        <x:v>4.37</x:v>
      </x:c>
      <x:c r="B66" s="17" t="str">
        <x:v>TX 8N1 / 16×</x:v>
      </x:c>
      <x:c r="C66" s="17" t="inlineStr">
        <x:is>
          <x:t>Objective: Verify TX frame with 8-bit none parity, 1 stop bit(s) and 16× sampling.
Setup: Reset; HCLK=100MHz; MDR=0x00, DLL=0x36, DLH=0; LCR=0x23; baud ≈115740.7 bps.
Stimulus: AHB write TBR=0x55 (from 0x55); UART VIP monitors uart_txd.
Expected: Start=0, 8 LSB-first bits (0x55), NONE parity (omitted), 1 stop bit(s)=1.
Checker / PASS: AHB write completes; UART monitor checks decoded value, parity, stop count and bit period; TX scoreboard compares exactly one expected vs observed frame.
Coverage: TX × WLS8 × NONE × STB1 × OSM16.
Timing checkpoint: 54*16*10ns per bit at100MHz; also records nominal115200 baud coverage formerly in3.07.</x:t>
        </x:is>
      </x:c>
      <x:c r="D66" s="17" t="str">
        <x:v>uart_tx_w8_none_s1_osm16_test</x:v>
      </x:c>
      <x:c r="E66" s="17" t="str">
        <x:v>High</x:v>
      </x:c>
      <x:c r="F66" s="17" t="str">
        <x:v>Directed</x:v>
      </x:c>
      <x:c r="G66" s="17"/>
      <x:c r="H66" s="23" t="inlineStr">
        <x:is>
          <x:t>Pass</x:t>
        </x:is>
      </x:c>
      <x:c r="I66" s="23" t="str">
        <x:v>M2</x:v>
      </x:c>
      <x:c r="J66" s="17" t="inlineStr">
        <x:is>
          <x:t>Spec §1.6.2 + §2.2.1/2.2.4; programmed baud = 100MHz/(54×16). EPS immaterial if PEN=0.
Validation 2026-10-24: PASS, Questa2021.2_1 seed1; completed scenario checks and required scoreboard comparisons.</x:t>
        </x:is>
      </x:c>
    </x:row>
    <x:row r="67" ht="210" customHeight="1">
      <x:c r="A67" s="22" t="str">
        <x:v>4.38</x:v>
      </x:c>
      <x:c r="B67" s="17" t="str">
        <x:v>TX 8N1 / 13×</x:v>
      </x:c>
      <x:c r="C67" s="17" t="inlineStr">
        <x:is>
          <x:t>Objective: Verify TX frame with 8-bit none parity, 1 stop bit(s) and 13× sampling.
Setup: Reset; HCLK=100MHz; MDR=0x01, DLL=0x43, DLH=0; LCR=0x23; baud ≈114810.6 bps.
Stimulus: AHB write TBR=0x55 (from 0x55); UART VIP monitors uart_txd.
Expected: Start=0, 8 LSB-first bits (0x55), NONE parity (omitted), 1 stop bit(s)=1.
Checker / PASS: AHB write completes; UART monitor checks decoded value, parity, stop count and bit period; TX scoreboard compares exactly one expected vs observed frame.
Coverage: TX × WLS8 × NONE × STB1 × OSM13.
Timing checkpoint: 67*13*10ns per bit at100MHz; also records nominal115200 baud coverage formerly in3.14.</x:t>
        </x:is>
      </x:c>
      <x:c r="D67" s="17" t="str">
        <x:v>uart_tx_w8_none_s1_osm13_test</x:v>
      </x:c>
      <x:c r="E67" s="17" t="str">
        <x:v>High</x:v>
      </x:c>
      <x:c r="F67" s="17" t="str">
        <x:v>Directed</x:v>
      </x:c>
      <x:c r="G67" s="17"/>
      <x:c r="H67" s="23" t="inlineStr">
        <x:is>
          <x:t>Pass</x:t>
        </x:is>
      </x:c>
      <x:c r="I67" s="23" t="str">
        <x:v>M2</x:v>
      </x:c>
      <x:c r="J67" s="17" t="inlineStr">
        <x:is>
          <x:t>Spec §1.6.2 + §2.2.1/2.2.4; programmed baud = 100MHz/(67×13). EPS immaterial if PEN=0.
Validation 2026-10-24: PASS, Questa2021.2_1 seed1; completed scenario checks and required scoreboard comparisons.</x:t>
        </x:is>
      </x:c>
    </x:row>
    <x:row r="68" ht="210" customHeight="1">
      <x:c r="A68" s="22" t="str">
        <x:v>4.39</x:v>
      </x:c>
      <x:c r="B68" s="17" t="str">
        <x:v>TX 8N2 / 16×</x:v>
      </x:c>
      <x:c r="C68" s="17" t="inlineStr">
        <x:is>
          <x:t>Objective: Verify TX frame with 8-bit none parity, 2 stop bit(s) and 16× sampling.
Setup: Reset; HCLK=100MHz; MDR=0x00, DLL=0x36, DLH=0; LCR=0x27; baud ≈115740.7 bps.
Stimulus: Queue two identical TBR payloads for this fixed format before the first frame finishes; UART VIP monitors both frames and the intervening stop interval.
Expected: Start=0, 8 LSB-first bits (0x55), NONE parity (omitted), 2 stop bit(s)=1.
Checker / PASS: AHB write completes; UART monitor checks decoded value, parity, stop count and bit period; TX scoreboard compares exactly two expected vs observed frames.
Coverage: TX × WLS8 × NONE × STB2 × OSM16.
Stop-width check: A queued second frame exposes a too-short two-stop-bit interval; this remains one fixed-format scenario.</x:t>
        </x:is>
      </x:c>
      <x:c r="D68" s="17" t="str">
        <x:v>uart_tx_w8_none_s2_osm16_test</x:v>
      </x:c>
      <x:c r="E68" s="17" t="str">
        <x:v>Medium</x:v>
      </x:c>
      <x:c r="F68" s="17" t="str">
        <x:v>Directed</x:v>
      </x:c>
      <x:c r="G68" s="17"/>
      <x:c r="H68" s="23" t="inlineStr">
        <x:is>
          <x:t xml:space="preserve">Pass</x:t>
        </x:is>
      </x:c>
      <x:c r="I68" s="23" t="str">
        <x:v>M2</x:v>
      </x:c>
      <x:c r="J68" s="17" t="inlineStr">
        <x:is>
          <x:t xml:space="preserve">Spec §1.6.2 + §2.2.1/2.2.4; programmed baud = 100MHz/(54×16). EPS immaterial if PEN=0.
Validation 2026-10-24: PASS, Questa2021.2_1 seed1; completed scenario checks and required scoreboard comparisons.
VIP timing recheck 2026-10-24: PASS after simultaneous TX/RX thread isolation and absolute frame-end deadline fixes; Questa2021.2_1 seed1. No error catcher attached to DUT environment.</x:t>
        </x:is>
      </x:c>
    </x:row>
    <x:row r="69" ht="210" customHeight="1">
      <x:c r="A69" s="22" t="str">
        <x:v>4.40</x:v>
      </x:c>
      <x:c r="B69" s="17" t="str">
        <x:v>TX 8N2 / 13×</x:v>
      </x:c>
      <x:c r="C69" s="17" t="inlineStr">
        <x:is>
          <x:t>Objective: Verify TX frame with 8-bit none parity, 2 stop bit(s) and 13× sampling.
Setup: Reset; HCLK=100MHz; MDR=0x01, DLL=0x43, DLH=0; LCR=0x27; baud ≈114810.6 bps.
Stimulus: Queue two identical TBR payloads for this fixed format before the first frame finishes; UART VIP monitors both frames and the intervening stop interval.
Expected: Start=0, 8 LSB-first bits (0x55), NONE parity (omitted), 2 stop bit(s)=1.
Checker / PASS: AHB write completes; UART monitor checks decoded value, parity, stop count and bit period; TX scoreboard compares exactly two expected vs observed frames.
Coverage: TX × WLS8 × NONE × STB2 × OSM13.
Stop-width check: A queued second frame exposes a too-short two-stop-bit interval; this remains one fixed-format scenario.</x:t>
        </x:is>
      </x:c>
      <x:c r="D69" s="17" t="str">
        <x:v>uart_tx_w8_none_s2_osm13_test</x:v>
      </x:c>
      <x:c r="E69" s="17" t="str">
        <x:v>Medium</x:v>
      </x:c>
      <x:c r="F69" s="17" t="str">
        <x:v>Directed</x:v>
      </x:c>
      <x:c r="G69" s="17"/>
      <x:c r="H69" s="23" t="inlineStr">
        <x:is>
          <x:t>Pass</x:t>
        </x:is>
      </x:c>
      <x:c r="I69" s="23" t="str">
        <x:v>M2</x:v>
      </x:c>
      <x:c r="J69" s="17" t="inlineStr">
        <x:is>
          <x:t>Spec §1.6.2 + §2.2.1/2.2.4; programmed baud = 100MHz/(67×13). EPS immaterial if PEN=0.
Validation 2026-10-24: PASS, Questa2021.2_1 seed1; completed scenario checks and required scoreboard comparisons.</x:t>
        </x:is>
      </x:c>
    </x:row>
    <x:row r="70" ht="210" customHeight="1">
      <x:c r="A70" s="22" t="str">
        <x:v>4.41</x:v>
      </x:c>
      <x:c r="B70" s="17" t="str">
        <x:v>TX 8E1 / 16×</x:v>
      </x:c>
      <x:c r="C70" s="17" t="str">
        <x:v>Objective: Verify TX frame with 8-bit even parity, 1 stop bit(s) and 16× sampling.
Setup: Reset; HCLK=100MHz; MDR=0x00, DLL=0x36, DLH=0; LCR=0x3B; baud ≈115740.7 bps.
Stimulus: AHB write TBR=0x55 (from 0x55); UART VIP monitors uart_txd.
Expected: Start=0, 8 LSB-first bits (0x55), EVEN parity (one bit), 1 stop bit(s)=1.
Checker / PASS: AHB write completes; UART monitor checks decoded value, parity, stop count and bit period; TX scoreboard compares exactly one expected vs observed frame.
Coverage: TX × WLS8 × EVEN × STB1 × OSM16.</x:v>
      </x:c>
      <x:c r="D70" s="17" t="str">
        <x:v>uart_tx_w8_even_s1_osm16_test</x:v>
      </x:c>
      <x:c r="E70" s="17" t="str">
        <x:v>Medium</x:v>
      </x:c>
      <x:c r="F70" s="17" t="str">
        <x:v>Directed</x:v>
      </x:c>
      <x:c r="G70" s="17"/>
      <x:c r="H70" s="23" t="inlineStr">
        <x:is>
          <x:t xml:space="preserve">Fail</x:t>
        </x:is>
      </x:c>
      <x:c r="I70" s="23" t="str">
        <x:v>M2</x:v>
      </x:c>
      <x:c r="J70" s="17" t="inlineStr">
        <x:is>
          <x:t xml:space="preserve">Spec §1.6.2 + §2.2.1/2.2.4; programmed baud = 100MHz/(54×16). EPS immaterial if PEN=0.
Validation 2026-10-24: FAIL, Questa2021.2_1 seed1. Data comparison occurred, but DUT TX parity differs from the active-width even/odd reference. Reset/masking cases also depend on correct TX parity. Reproducer: uart_tx_w8_even_s1_osm16_test.
VIP timing recheck 2026-10-24: FAIL after simultaneous TX/RX thread isolation and absolute frame-end deadline fixes; Questa2021.2_1 seed1. No error catcher attached to DUT environment.</x:t>
        </x:is>
      </x:c>
    </x:row>
    <x:row r="71" ht="210" customHeight="1">
      <x:c r="A71" s="22" t="str">
        <x:v>4.42</x:v>
      </x:c>
      <x:c r="B71" s="17" t="str">
        <x:v>TX 8E1 / 13×</x:v>
      </x:c>
      <x:c r="C71" s="17" t="str">
        <x:v>Objective: Verify TX frame with 8-bit even parity, 1 stop bit(s) and 13× sampling.
Setup: Reset; HCLK=100MHz; MDR=0x01, DLL=0x43, DLH=0; LCR=0x3B; baud ≈114810.6 bps.
Stimulus: AHB write TBR=0x55 (from 0x55); UART VIP monitors uart_txd.
Expected: Start=0, 8 LSB-first bits (0x55), EVEN parity (one bit), 1 stop bit(s)=1.
Checker / PASS: AHB write completes; UART monitor checks decoded value, parity, stop count and bit period; TX scoreboard compares exactly one expected vs observed frame.
Coverage: TX × WLS8 × EVEN × STB1 × OSM13.</x:v>
      </x:c>
      <x:c r="D71" s="17" t="str">
        <x:v>uart_tx_w8_even_s1_osm13_test</x:v>
      </x:c>
      <x:c r="E71" s="17" t="str">
        <x:v>Medium</x:v>
      </x:c>
      <x:c r="F71" s="17" t="str">
        <x:v>Directed</x:v>
      </x:c>
      <x:c r="G71" s="17"/>
      <x:c r="H71" s="23" t="inlineStr">
        <x:is>
          <x:t>Fail</x:t>
        </x:is>
      </x:c>
      <x:c r="I71" s="23" t="str">
        <x:v>M2</x:v>
      </x:c>
      <x:c r="J71" s="17" t="inlineStr">
        <x:is>
          <x:t>Spec §1.6.2 + §2.2.1/2.2.4; programmed baud = 100MHz/(67×13). EPS immaterial if PEN=0.
Validation 2026-10-24: FAIL, Questa2021.2_1 seed1. Data comparison occurred, but DUT TX parity differs from the active-width even/odd reference. Reset/masking cases also depend on correct TX parity. Reproducer: uart_tx_w8_even_s1_osm13_test.</x:t>
        </x:is>
      </x:c>
    </x:row>
    <x:row r="72" ht="210" customHeight="1">
      <x:c r="A72" s="22" t="str">
        <x:v>4.43</x:v>
      </x:c>
      <x:c r="B72" s="17" t="str">
        <x:v>TX 8E2 / 16×</x:v>
      </x:c>
      <x:c r="C72" s="17" t="inlineStr">
        <x:is>
          <x:t>Objective: Verify TX frame with 8-bit even parity, 2 stop bit(s) and 16× sampling.
Setup: Reset; HCLK=100MHz; MDR=0x00, DLL=0x36, DLH=0; LCR=0x3F; baud ≈115740.7 bps.
Stimulus: Queue two identical TBR payloads for this fixed format before the first frame finishes; UART VIP monitors both frames and the intervening stop interval.
Expected: Start=0, 8 LSB-first bits (0x55), EVEN parity (one bit), 2 stop bit(s)=1.
Checker / PASS: AHB write completes; UART monitor checks decoded value, parity, stop count and bit period; TX scoreboard compares exactly two expected vs observed frames.
Coverage: TX × WLS8 × EVEN × STB2 × OSM16.
Stop-width check: A queued second frame exposes a too-short two-stop-bit interval; this remains one fixed-format scenario.</x:t>
        </x:is>
      </x:c>
      <x:c r="D72" s="17" t="str">
        <x:v>uart_tx_w8_even_s2_osm16_test</x:v>
      </x:c>
      <x:c r="E72" s="17" t="str">
        <x:v>Medium</x:v>
      </x:c>
      <x:c r="F72" s="17" t="str">
        <x:v>Directed</x:v>
      </x:c>
      <x:c r="G72" s="17"/>
      <x:c r="H72" s="23" t="inlineStr">
        <x:is>
          <x:t>Fail</x:t>
        </x:is>
      </x:c>
      <x:c r="I72" s="23" t="str">
        <x:v>M2</x:v>
      </x:c>
      <x:c r="J72" s="17" t="inlineStr">
        <x:is>
          <x:t>Spec §1.6.2 + §2.2.1/2.2.4; programmed baud = 100MHz/(54×16). EPS immaterial if PEN=0.
Validation 2026-10-24: FAIL, Questa2021.2_1 seed1. Data comparison occurred, but DUT TX parity differs from the active-width even/odd reference. Reset/masking cases also depend on correct TX parity. Reproducer: uart_tx_w8_even_s2_osm16_test.</x:t>
        </x:is>
      </x:c>
    </x:row>
    <x:row r="73" ht="210" customHeight="1">
      <x:c r="A73" s="22" t="str">
        <x:v>4.44</x:v>
      </x:c>
      <x:c r="B73" s="17" t="str">
        <x:v>TX 8E2 / 13×</x:v>
      </x:c>
      <x:c r="C73" s="17" t="inlineStr">
        <x:is>
          <x:t>Objective: Verify TX frame with 8-bit even parity, 2 stop bit(s) and 13× sampling.
Setup: Reset; HCLK=100MHz; MDR=0x01, DLL=0x43, DLH=0; LCR=0x3F; baud ≈114810.6 bps.
Stimulus: Queue two identical TBR payloads for this fixed format before the first frame finishes; UART VIP monitors both frames and the intervening stop interval.
Expected: Start=0, 8 LSB-first bits (0x55), EVEN parity (one bit), 2 stop bit(s)=1.
Checker / PASS: AHB write completes; UART monitor checks decoded value, parity, stop count and bit period; TX scoreboard compares exactly two expected vs observed frames.
Coverage: TX × WLS8 × EVEN × STB2 × OSM13.
Stop-width check: A queued second frame exposes a too-short two-stop-bit interval; this remains one fixed-format scenario.</x:t>
        </x:is>
      </x:c>
      <x:c r="D73" s="17" t="str">
        <x:v>uart_tx_w8_even_s2_osm13_test</x:v>
      </x:c>
      <x:c r="E73" s="17" t="str">
        <x:v>Medium</x:v>
      </x:c>
      <x:c r="F73" s="17" t="str">
        <x:v>Directed</x:v>
      </x:c>
      <x:c r="G73" s="17"/>
      <x:c r="H73" s="23" t="inlineStr">
        <x:is>
          <x:t>Fail</x:t>
        </x:is>
      </x:c>
      <x:c r="I73" s="23" t="str">
        <x:v>M2</x:v>
      </x:c>
      <x:c r="J73" s="17" t="inlineStr">
        <x:is>
          <x:t>Spec §1.6.2 + §2.2.1/2.2.4; programmed baud = 100MHz/(67×13). EPS immaterial if PEN=0.
Validation 2026-10-24: FAIL, Questa2021.2_1 seed1. Data comparison occurred, but DUT TX parity differs from the active-width even/odd reference. Reset/masking cases also depend on correct TX parity. Reproducer: uart_tx_w8_even_s2_osm13_test.</x:t>
        </x:is>
      </x:c>
    </x:row>
    <x:row r="74" ht="210" customHeight="1">
      <x:c r="A74" s="22" t="str">
        <x:v>4.45</x:v>
      </x:c>
      <x:c r="B74" s="17" t="str">
        <x:v>TX 8O1 / 16×</x:v>
      </x:c>
      <x:c r="C74" s="17" t="str">
        <x:v>Objective: Verify TX frame with 8-bit odd parity, 1 stop bit(s) and 16× sampling.
Setup: Reset; HCLK=100MHz; MDR=0x00, DLL=0x36, DLH=0; LCR=0x2B; baud ≈115740.7 bps.
Stimulus: AHB write TBR=0x55 (from 0x55); UART VIP monitors uart_txd.
Expected: Start=0, 8 LSB-first bits (0x55), ODD parity (one bit), 1 stop bit(s)=1.
Checker / PASS: AHB write completes; UART monitor checks decoded value, parity, stop count and bit period; TX scoreboard compares exactly one expected vs observed frame.
Coverage: TX × WLS8 × ODD × STB1 × OSM16.</x:v>
      </x:c>
      <x:c r="D74" s="17" t="str">
        <x:v>uart_tx_w8_odd_s1_osm16_test</x:v>
      </x:c>
      <x:c r="E74" s="17" t="str">
        <x:v>Medium</x:v>
      </x:c>
      <x:c r="F74" s="17" t="str">
        <x:v>Directed</x:v>
      </x:c>
      <x:c r="G74" s="17"/>
      <x:c r="H74" s="23" t="inlineStr">
        <x:is>
          <x:t xml:space="preserve">Fail</x:t>
        </x:is>
      </x:c>
      <x:c r="I74" s="23" t="str">
        <x:v>M2</x:v>
      </x:c>
      <x:c r="J74" s="17" t="inlineStr">
        <x:is>
          <x:t xml:space="preserve">Spec §1.6.2 + §2.2.1/2.2.4; programmed baud = 100MHz/(54×16). EPS immaterial if PEN=0.
Validation 2026-10-24: FAIL, Questa2021.2_1 seed1. Data comparison occurred, but DUT TX parity differs from the active-width even/odd reference. Reset/masking cases also depend on correct TX parity. Reproducer: uart_tx_w8_odd_s1_osm16_test.
VIP timing recheck 2026-10-24: FAIL after simultaneous TX/RX thread isolation and absolute frame-end deadline fixes; Questa2021.2_1 seed1. No error catcher attached to DUT environment.</x:t>
        </x:is>
      </x:c>
    </x:row>
    <x:row r="75" ht="210" customHeight="1">
      <x:c r="A75" s="22" t="str">
        <x:v>4.46</x:v>
      </x:c>
      <x:c r="B75" s="17" t="str">
        <x:v>TX 8O1 / 13×</x:v>
      </x:c>
      <x:c r="C75" s="17" t="str">
        <x:v>Objective: Verify TX frame with 8-bit odd parity, 1 stop bit(s) and 13× sampling.
Setup: Reset; HCLK=100MHz; MDR=0x01, DLL=0x43, DLH=0; LCR=0x2B; baud ≈114810.6 bps.
Stimulus: AHB write TBR=0x55 (from 0x55); UART VIP monitors uart_txd.
Expected: Start=0, 8 LSB-first bits (0x55), ODD parity (one bit), 1 stop bit(s)=1.
Checker / PASS: AHB write completes; UART monitor checks decoded value, parity, stop count and bit period; TX scoreboard compares exactly one expected vs observed frame.
Coverage: TX × WLS8 × ODD × STB1 × OSM13.</x:v>
      </x:c>
      <x:c r="D75" s="17" t="str">
        <x:v>uart_tx_w8_odd_s1_osm13_test</x:v>
      </x:c>
      <x:c r="E75" s="17" t="str">
        <x:v>Medium</x:v>
      </x:c>
      <x:c r="F75" s="17" t="str">
        <x:v>Directed</x:v>
      </x:c>
      <x:c r="G75" s="17"/>
      <x:c r="H75" s="23" t="inlineStr">
        <x:is>
          <x:t>Fail</x:t>
        </x:is>
      </x:c>
      <x:c r="I75" s="23" t="str">
        <x:v>M2</x:v>
      </x:c>
      <x:c r="J75" s="17" t="inlineStr">
        <x:is>
          <x:t>Spec §1.6.2 + §2.2.1/2.2.4; programmed baud = 100MHz/(67×13). EPS immaterial if PEN=0.
Validation 2026-10-24: FAIL, Questa2021.2_1 seed1. Data comparison occurred, but DUT TX parity differs from the active-width even/odd reference. Reset/masking cases also depend on correct TX parity. Reproducer: uart_tx_w8_odd_s1_osm13_test.</x:t>
        </x:is>
      </x:c>
    </x:row>
    <x:row r="76" ht="210" customHeight="1">
      <x:c r="A76" s="22" t="str">
        <x:v>4.47</x:v>
      </x:c>
      <x:c r="B76" s="17" t="str">
        <x:v>TX 8O2 / 16×</x:v>
      </x:c>
      <x:c r="C76" s="17" t="inlineStr">
        <x:is>
          <x:t>Objective: Verify TX frame with 8-bit odd parity, 2 stop bit(s) and 16× sampling.
Setup: Reset; HCLK=100MHz; MDR=0x00, DLL=0x36, DLH=0; LCR=0x2F; baud ≈115740.7 bps.
Stimulus: Queue two identical TBR payloads for this fixed format before the first frame finishes; UART VIP monitors both frames and the intervening stop interval.
Expected: Start=0, 8 LSB-first bits (0x55), ODD parity (one bit), 2 stop bit(s)=1.
Checker / PASS: AHB write completes; UART monitor checks decoded value, parity, stop count and bit period; TX scoreboard compares exactly two expected vs observed frames.
Coverage: TX × WLS8 × ODD × STB2 × OSM16.
Stop-width check: A queued second frame exposes a too-short two-stop-bit interval; this remains one fixed-format scenario.</x:t>
        </x:is>
      </x:c>
      <x:c r="D76" s="17" t="str">
        <x:v>uart_tx_w8_odd_s2_osm16_test</x:v>
      </x:c>
      <x:c r="E76" s="17" t="str">
        <x:v>Medium</x:v>
      </x:c>
      <x:c r="F76" s="17" t="str">
        <x:v>Directed</x:v>
      </x:c>
      <x:c r="G76" s="17"/>
      <x:c r="H76" s="23" t="inlineStr">
        <x:is>
          <x:t>Fail</x:t>
        </x:is>
      </x:c>
      <x:c r="I76" s="23" t="str">
        <x:v>M2</x:v>
      </x:c>
      <x:c r="J76" s="17" t="inlineStr">
        <x:is>
          <x:t>Spec §1.6.2 + §2.2.1/2.2.4; programmed baud = 100MHz/(54×16). EPS immaterial if PEN=0.
Validation 2026-10-24: FAIL, Questa2021.2_1 seed1. Data comparison occurred, but DUT TX parity differs from the active-width even/odd reference. Reset/masking cases also depend on correct TX parity. Reproducer: uart_tx_w8_odd_s2_osm16_test.</x:t>
        </x:is>
      </x:c>
    </x:row>
    <x:row r="77" ht="210" customHeight="1">
      <x:c r="A77" s="22" t="str">
        <x:v>4.48</x:v>
      </x:c>
      <x:c r="B77" s="17" t="str">
        <x:v>TX 8O2 / 13×</x:v>
      </x:c>
      <x:c r="C77" s="17" t="inlineStr">
        <x:is>
          <x:t>Objective: Verify TX frame with 8-bit odd parity, 2 stop bit(s) and 13× sampling.
Setup: Reset; HCLK=100MHz; MDR=0x01, DLL=0x43, DLH=0; LCR=0x2F; baud ≈114810.6 bps.
Stimulus: Queue two identical TBR payloads for this fixed format before the first frame finishes; UART VIP monitors both frames and the intervening stop interval.
Expected: Start=0, 8 LSB-first bits (0x55), ODD parity (one bit), 2 stop bit(s)=1.
Checker / PASS: AHB write completes; UART monitor checks decoded value, parity, stop count and bit period; TX scoreboard compares exactly two expected vs observed frames.
Coverage: TX × WLS8 × ODD × STB2 × OSM13.
Stop-width check: A queued second frame exposes a too-short two-stop-bit interval; this remains one fixed-format scenario.</x:t>
        </x:is>
      </x:c>
      <x:c r="D77" s="17" t="str">
        <x:v>uart_tx_w8_odd_s2_osm13_test</x:v>
      </x:c>
      <x:c r="E77" s="17" t="str">
        <x:v>Medium</x:v>
      </x:c>
      <x:c r="F77" s="17" t="str">
        <x:v>Directed</x:v>
      </x:c>
      <x:c r="G77" s="17"/>
      <x:c r="H77" s="23" t="inlineStr">
        <x:is>
          <x:t>Fail</x:t>
        </x:is>
      </x:c>
      <x:c r="I77" s="23" t="str">
        <x:v>M2</x:v>
      </x:c>
      <x:c r="J77" s="17" t="inlineStr">
        <x:is>
          <x:t>Spec §1.6.2 + §2.2.1/2.2.4; programmed baud = 100MHz/(67×13). EPS immaterial if PEN=0.
Validation 2026-10-24: FAIL, Questa2021.2_1 seed1. Data comparison occurred, but DUT TX parity differs from the active-width even/odd reference. Reset/masking cases also depend on correct TX parity. Reproducer: uart_tx_w8_odd_s2_osm13_test.</x:t>
        </x:is>
      </x:c>
    </x:row>
    <x:row r="78" ht="210" customHeight="1">
      <x:c r="A78" s="22" t="str">
        <x:v>4.49</x:v>
      </x:c>
      <x:c r="B78" s="17" t="str">
        <x:v>TX all-zero data pattern</x:v>
      </x:c>
      <x:c r="C78" s="17" t="str">
        <x:v>Objective: Verify 8N1 TX reliably emits all-zero data bits and maintains a valid stop.
Setup: Reset; 16×, 115200 nominal, LCR=0x23; TX FIFO initially empty.
Stimulus: AHB write TBR=0x00; observe one complete uart_txd frame.
Expected: One start, eight zero data bits, high stop; no lost frame.
Checker / PASS: Expected AHB TBR event vs UART monitor decode; detect missing/extra frame.
Coverage: TX payload all-zero.</x:v>
      </x:c>
      <x:c r="D78" s="17" t="str">
        <x:v>uart_tx_pattern_zero_test</x:v>
      </x:c>
      <x:c r="E78" s="17" t="str">
        <x:v>High</x:v>
      </x:c>
      <x:c r="F78" s="17" t="str">
        <x:v>Directed</x:v>
      </x:c>
      <x:c r="G78" s="17"/>
      <x:c r="H78" s="23" t="inlineStr">
        <x:is>
          <x:t>Pass</x:t>
        </x:is>
      </x:c>
      <x:c r="I78" s="23" t="str">
        <x:v>M2</x:v>
      </x:c>
      <x:c r="J78" s="17" t="inlineStr">
        <x:is>
          <x:t>Spec §1.6.2 + §1.7.1.
Validation 2026-10-24: PASS, Questa2021.2_1 seed1; completed scenario checks and required scoreboard comparisons.</x:t>
        </x:is>
      </x:c>
    </x:row>
    <x:row r="79" ht="210" customHeight="1">
      <x:c r="A79" s="22" t="str">
        <x:v>4.50</x:v>
      </x:c>
      <x:c r="B79" s="17" t="str">
        <x:v>TX all-one data pattern</x:v>
      </x:c>
      <x:c r="C79" s="17" t="str">
        <x:v>Objective: Verify 8N1 TX emits all-one payload including consecutive high data bits.
Setup: Reset; 16×, 115200 nominal, 8N1.
Stimulus: AHB write TBR=0xFF and capture whole frame.
Expected: Decoded 0xFF with correct start and stop, despite long consecutive high interval.
Checker / PASS: UART decoder + byte-wise scoreboard and timing checks.
Coverage: TX payload all-ones.</x:v>
      </x:c>
      <x:c r="D79" s="17" t="str">
        <x:v>uart_tx_pattern_ff_test</x:v>
      </x:c>
      <x:c r="E79" s="17" t="str">
        <x:v>High</x:v>
      </x:c>
      <x:c r="F79" s="17" t="str">
        <x:v>Directed</x:v>
      </x:c>
      <x:c r="G79" s="17"/>
      <x:c r="H79" s="23" t="inlineStr">
        <x:is>
          <x:t>Pass</x:t>
        </x:is>
      </x:c>
      <x:c r="I79" s="23" t="str">
        <x:v>M2</x:v>
      </x:c>
      <x:c r="J79" s="17" t="inlineStr">
        <x:is>
          <x:t>Spec §1.6.2; independent pattern test.
Validation 2026-10-24: PASS, Questa2021.2_1 seed1; completed scenario checks and required scoreboard comparisons.</x:t>
        </x:is>
      </x:c>
    </x:row>
    <x:row r="80" ht="210" customHeight="1">
      <x:c r="A80" s="22" t="str">
        <x:v>4.51</x:v>
      </x:c>
      <x:c r="B80" s="17" t="str">
        <x:v>TX consecutive frame ordering</x:v>
      </x:c>
      <x:c r="C80" s="17" t="str">
        <x:v>Objective: Verify multiple TBR writes leave UART TX in FIFO order without duplication.
Setup: Reset; 8N1 16×, valid 115200 baud; avoid writing beyond FIFO full.
Stimulus: Enqueue distinct bytes 0x12, 0x34, 0x56, 0x78; wait until all frames complete.
Expected: Exactly four serial frames emitted in original accepted order.
Checker / PASS: AHB write-completion expected queue vs uart_txd decoded monitor; queue empties.
Coverage: TX multiple frames × ordering.</x:v>
      </x:c>
      <x:c r="D80" s="17" t="str">
        <x:v>uart_tx_stream_order_test</x:v>
      </x:c>
      <x:c r="E80" s="17" t="str">
        <x:v>High</x:v>
      </x:c>
      <x:c r="F80" s="17" t="str">
        <x:v>Directed</x:v>
      </x:c>
      <x:c r="G80" s="17"/>
      <x:c r="H80" s="23" t="inlineStr">
        <x:is>
          <x:t xml:space="preserve">Pass</x:t>
        </x:is>
      </x:c>
      <x:c r="I80" s="23" t="str">
        <x:v>M2</x:v>
      </x:c>
      <x:c r="J80" s="17" t="inlineStr">
        <x:is>
          <x:t xml:space="preserve">Spec §1.7.1 and separate 16-byte TX FIFO.
Validation 2026-10-24: PASS, Questa2021.2_1 seed1; completed scenario checks and required scoreboard comparisons.
VIP timing recheck 2026-10-24: PASS after simultaneous TX/RX thread isolation and absolute frame-end deadline fixes; Questa2021.2_1 seed1. No error catcher attached to DUT environment.</x:t>
        </x:is>
      </x:c>
    </x:row>
    <x:row r="81" ht="34" customHeight="1">
      <x:c r="A81" s="27" t="n">
        <x:v>5</x:v>
      </x:c>
      <x:c r="B81" s="28" t="str">
        <x:v>UART Receive Verification</x:v>
      </x:c>
      <x:c r="C81" s="28"/>
      <x:c r="D81" s="28"/>
      <x:c r="E81" s="28"/>
      <x:c r="F81" s="28"/>
      <x:c r="G81" s="28"/>
      <x:c r="H81" s="29"/>
      <x:c r="I81" s="29"/>
      <x:c r="J81" s="28"/>
    </x:row>
    <x:row r="82" ht="210" customHeight="1">
      <x:c r="A82" s="22" t="str">
        <x:v>5.01</x:v>
      </x:c>
      <x:c r="B82" s="17" t="str">
        <x:v>RX 5N1 / 16×</x:v>
      </x:c>
      <x:c r="C82" s="17" t="inlineStr">
        <x:is>
          <x:t>Objective: Verify RX frame with 5-bit none parity, 1 stop bit(s) and 16× sampling.
Setup: Reset; HCLK=100MHz; MDR=0x00, DLL=0x36, DLH=0; LCR=0x20; baud ≈115740.7 bps.
Stimulus: UART VIP drives 0x06 (masked from 0xA6) into uart_rxd; wait RX ready; read RBR 0x01C.
Expected: RX captures one 5N1 frame; RBR[WLS-1:0]=0x06; unused upper bits are not specified; no parity-error status for a valid frame.
Checker / PASS: UART request monitor/driver expected queue vs completed AHB RBR read; compare only active WLS bits and FIFO/event ordering; require one comparison.
Coverage: RX × WLS5 × NONE × STB1 × OSM16.</x:t>
        </x:is>
      </x:c>
      <x:c r="D82" s="17" t="str">
        <x:v>uart_rx_w5_none_s1_osm16_test</x:v>
      </x:c>
      <x:c r="E82" s="17" t="str">
        <x:v>Medium</x:v>
      </x:c>
      <x:c r="F82" s="17" t="str">
        <x:v>Directed</x:v>
      </x:c>
      <x:c r="G82" s="17"/>
      <x:c r="H82" s="23" t="inlineStr">
        <x:is>
          <x:t>Pass</x:t>
        </x:is>
      </x:c>
      <x:c r="I82" s="23" t="str">
        <x:v>M3</x:v>
      </x:c>
      <x:c r="J82" s="17" t="inlineStr">
        <x:is>
          <x:t>Spec §1.6.2 + §2.2.1/2.2.4; programmed baud = 100MHz/(54×16). EPS immaterial if PEN=0.
Validation 2026-10-24: PASS, Questa2021.2_1 seed1; completed scenario checks and required scoreboard comparisons.</x:t>
        </x:is>
      </x:c>
    </x:row>
    <x:row r="83" ht="210" customHeight="1">
      <x:c r="A83" s="22" t="str">
        <x:v>5.02</x:v>
      </x:c>
      <x:c r="B83" s="17" t="str">
        <x:v>RX 5N1 / 13×</x:v>
      </x:c>
      <x:c r="C83" s="17" t="inlineStr">
        <x:is>
          <x:t>Objective: Verify RX frame with 5-bit none parity, 1 stop bit(s) and 13× sampling.
Setup: Reset; HCLK=100MHz; MDR=0x01, DLL=0x43, DLH=0; LCR=0x20; baud ≈114810.6 bps.
Stimulus: UART VIP drives 0x06 (masked from 0xA6) into uart_rxd; wait RX ready; read RBR 0x01C.
Expected: RX captures one 5N1 frame; RBR[WLS-1:0]=0x06; unused upper bits are not specified; no parity-error status for a valid frame.
Checker / PASS: UART request monitor/driver expected queue vs completed AHB RBR read; compare only active WLS bits and FIFO/event ordering; require one comparison.
Coverage: RX × WLS5 × NONE × STB1 × OSM13.</x:t>
        </x:is>
      </x:c>
      <x:c r="D83" s="17" t="str">
        <x:v>uart_rx_w5_none_s1_osm13_test</x:v>
      </x:c>
      <x:c r="E83" s="17" t="str">
        <x:v>Medium</x:v>
      </x:c>
      <x:c r="F83" s="17" t="str">
        <x:v>Directed</x:v>
      </x:c>
      <x:c r="G83" s="17"/>
      <x:c r="H83" s="23" t="inlineStr">
        <x:is>
          <x:t>Pass</x:t>
        </x:is>
      </x:c>
      <x:c r="I83" s="23" t="str">
        <x:v>M3</x:v>
      </x:c>
      <x:c r="J83" s="17" t="inlineStr">
        <x:is>
          <x:t>Spec §1.6.2 + §2.2.1/2.2.4; programmed baud = 100MHz/(67×13). EPS immaterial if PEN=0.
Validation 2026-10-24: PASS, Questa2021.2_1 seed1; completed scenario checks and required scoreboard comparisons.</x:t>
        </x:is>
      </x:c>
    </x:row>
    <x:row r="84" ht="210" customHeight="1">
      <x:c r="A84" s="22" t="str">
        <x:v>5.03</x:v>
      </x:c>
      <x:c r="B84" s="17" t="str">
        <x:v>RX 5N2 / 16×</x:v>
      </x:c>
      <x:c r="C84" s="17" t="inlineStr">
        <x:is>
          <x:t>Objective: Verify RX frame with 5-bit none parity, 2 stop bit(s) and 16× sampling.
Setup: Reset; HCLK=100MHz; MDR=0x00, DLL=0x36, DLH=0; LCR=0x24; baud ≈115740.7 bps.
Stimulus: UART VIP drives 0x06 (masked from 0xA6) into uart_rxd; wait RX ready; read RBR 0x01C.
Expected: RX captures one 5N2 frame; RBR[WLS-1:0]=0x06; unused upper bits are not specified; no parity-error status for a valid frame.
Checker / PASS: UART request monitor/driver expected queue vs completed AHB RBR read; compare only active WLS bits and FIFO/event ordering; require one comparison.
Coverage: RX × WLS5 × NONE × STB2 × OSM16.</x:t>
        </x:is>
      </x:c>
      <x:c r="D84" s="17" t="str">
        <x:v>uart_rx_w5_none_s2_osm16_test</x:v>
      </x:c>
      <x:c r="E84" s="17" t="str">
        <x:v>Medium</x:v>
      </x:c>
      <x:c r="F84" s="17" t="str">
        <x:v>Directed</x:v>
      </x:c>
      <x:c r="G84" s="17"/>
      <x:c r="H84" s="23" t="inlineStr">
        <x:is>
          <x:t>Pass</x:t>
        </x:is>
      </x:c>
      <x:c r="I84" s="23" t="str">
        <x:v>M3</x:v>
      </x:c>
      <x:c r="J84" s="17" t="inlineStr">
        <x:is>
          <x:t>Spec §1.6.2 + §2.2.1/2.2.4; programmed baud = 100MHz/(54×16). EPS immaterial if PEN=0.
Validation 2026-10-24: PASS, Questa2021.2_1 seed1; completed scenario checks and required scoreboard comparisons.</x:t>
        </x:is>
      </x:c>
    </x:row>
    <x:row r="85" ht="210" customHeight="1">
      <x:c r="A85" s="22" t="str">
        <x:v>5.04</x:v>
      </x:c>
      <x:c r="B85" s="17" t="str">
        <x:v>RX 5N2 / 13×</x:v>
      </x:c>
      <x:c r="C85" s="17" t="inlineStr">
        <x:is>
          <x:t>Objective: Verify RX frame with 5-bit none parity, 2 stop bit(s) and 13× sampling.
Setup: Reset; HCLK=100MHz; MDR=0x01, DLL=0x43, DLH=0; LCR=0x24; baud ≈114810.6 bps.
Stimulus: UART VIP drives 0x06 (masked from 0xA6) into uart_rxd; wait RX ready; read RBR 0x01C.
Expected: RX captures one 5N2 frame; RBR[WLS-1:0]=0x06; unused upper bits are not specified; no parity-error status for a valid frame.
Checker / PASS: UART request monitor/driver expected queue vs completed AHB RBR read; compare only active WLS bits and FIFO/event ordering; require one comparison.
Coverage: RX × WLS5 × NONE × STB2 × OSM13.</x:t>
        </x:is>
      </x:c>
      <x:c r="D85" s="17" t="str">
        <x:v>uart_rx_w5_none_s2_osm13_test</x:v>
      </x:c>
      <x:c r="E85" s="17" t="str">
        <x:v>Medium</x:v>
      </x:c>
      <x:c r="F85" s="17" t="str">
        <x:v>Directed</x:v>
      </x:c>
      <x:c r="G85" s="17"/>
      <x:c r="H85" s="23" t="inlineStr">
        <x:is>
          <x:t>Pass</x:t>
        </x:is>
      </x:c>
      <x:c r="I85" s="23" t="str">
        <x:v>M3</x:v>
      </x:c>
      <x:c r="J85" s="17" t="inlineStr">
        <x:is>
          <x:t>Spec §1.6.2 + §2.2.1/2.2.4; programmed baud = 100MHz/(67×13). EPS immaterial if PEN=0.
Validation 2026-10-24: PASS, Questa2021.2_1 seed1; completed scenario checks and required scoreboard comparisons.</x:t>
        </x:is>
      </x:c>
    </x:row>
    <x:row r="86" ht="210" customHeight="1">
      <x:c r="A86" s="22" t="str">
        <x:v>5.05</x:v>
      </x:c>
      <x:c r="B86" s="17" t="str">
        <x:v>RX 5E1 / 16×</x:v>
      </x:c>
      <x:c r="C86" s="17" t="inlineStr">
        <x:is>
          <x:t>Objective: Verify RX frame with 5-bit even parity, 1 stop bit(s) and 16× sampling.
Setup: Reset; HCLK=100MHz; MDR=0x00, DLL=0x36, DLH=0; LCR=0x38; baud ≈115740.7 bps.
Stimulus: UART VIP drives 0x06 (masked from 0xA6) into uart_rxd; wait RX ready; read RBR 0x01C.
Expected: RX captures one 5E1 frame; RBR[WLS-1:0]=0x06; unused upper bits are not specified; no parity-error status for a valid frame.
Checker / PASS: UART request monitor/driver expected queue vs completed AHB RBR read; compare only active WLS bits and FIFO/event ordering; require one comparison.
Coverage: RX × WLS5 × EVEN × STB1 × OSM16.</x:t>
        </x:is>
      </x:c>
      <x:c r="D86" s="17" t="str">
        <x:v>uart_rx_w5_even_s1_osm16_test</x:v>
      </x:c>
      <x:c r="E86" s="17" t="str">
        <x:v>Medium</x:v>
      </x:c>
      <x:c r="F86" s="17" t="str">
        <x:v>Directed</x:v>
      </x:c>
      <x:c r="G86" s="17"/>
      <x:c r="H86" s="23" t="inlineStr">
        <x:is>
          <x:t>Pass</x:t>
        </x:is>
      </x:c>
      <x:c r="I86" s="23" t="str">
        <x:v>M3</x:v>
      </x:c>
      <x:c r="J86" s="17" t="inlineStr">
        <x:is>
          <x:t>Spec §1.6.2 + §2.2.1/2.2.4; programmed baud = 100MHz/(54×16). EPS immaterial if PEN=0.
Validation 2026-10-24: PASS, Questa2021.2_1 seed1; completed scenario checks and required scoreboard comparisons.</x:t>
        </x:is>
      </x:c>
    </x:row>
    <x:row r="87" ht="210" customHeight="1">
      <x:c r="A87" s="22" t="str">
        <x:v>5.06</x:v>
      </x:c>
      <x:c r="B87" s="17" t="str">
        <x:v>RX 5E1 / 13×</x:v>
      </x:c>
      <x:c r="C87" s="17" t="inlineStr">
        <x:is>
          <x:t>Objective: Verify RX frame with 5-bit even parity, 1 stop bit(s) and 13× sampling.
Setup: Reset; HCLK=100MHz; MDR=0x01, DLL=0x43, DLH=0; LCR=0x38; baud ≈114810.6 bps.
Stimulus: UART VIP drives 0x06 (masked from 0xA6) into uart_rxd; wait RX ready; read RBR 0x01C.
Expected: RX captures one 5E1 frame; RBR[WLS-1:0]=0x06; unused upper bits are not specified; no parity-error status for a valid frame.
Checker / PASS: UART request monitor/driver expected queue vs completed AHB RBR read; compare only active WLS bits and FIFO/event ordering; require one comparison.
Coverage: RX × WLS5 × EVEN × STB1 × OSM13.</x:t>
        </x:is>
      </x:c>
      <x:c r="D87" s="17" t="str">
        <x:v>uart_rx_w5_even_s1_osm13_test</x:v>
      </x:c>
      <x:c r="E87" s="17" t="str">
        <x:v>Medium</x:v>
      </x:c>
      <x:c r="F87" s="17" t="str">
        <x:v>Directed</x:v>
      </x:c>
      <x:c r="G87" s="17"/>
      <x:c r="H87" s="23" t="inlineStr">
        <x:is>
          <x:t xml:space="preserve">Pass</x:t>
        </x:is>
      </x:c>
      <x:c r="I87" s="23" t="str">
        <x:v>M3</x:v>
      </x:c>
      <x:c r="J87" s="17" t="inlineStr">
        <x:is>
          <x:t xml:space="preserve">Spec §1.6.2 + §2.2.1/2.2.4; programmed baud = 100MHz/(67×13). EPS immaterial if PEN=0.
Validation 2026-10-24: PASS, Questa2021.2_1 seed1; completed scenario checks and required scoreboard comparisons.
VIP timing recheck 2026-10-24: PASS after simultaneous TX/RX thread isolation and absolute frame-end deadline fixes; Questa2021.2_1 seed1. No error catcher attached to DUT environment.</x:t>
        </x:is>
      </x:c>
    </x:row>
    <x:row r="88" ht="210" customHeight="1">
      <x:c r="A88" s="22" t="str">
        <x:v>5.07</x:v>
      </x:c>
      <x:c r="B88" s="17" t="str">
        <x:v>RX 5E2 / 16×</x:v>
      </x:c>
      <x:c r="C88" s="17" t="inlineStr">
        <x:is>
          <x:t>Objective: Verify RX frame with 5-bit even parity, 2 stop bit(s) and 16× sampling.
Setup: Reset; HCLK=100MHz; MDR=0x00, DLL=0x36, DLH=0; LCR=0x3C; baud ≈115740.7 bps.
Stimulus: UART VIP drives 0x06 (masked from 0xA6) into uart_rxd; wait RX ready; read RBR 0x01C.
Expected: RX captures one 5E2 frame; RBR[WLS-1:0]=0x06; unused upper bits are not specified; no parity-error status for a valid frame.
Checker / PASS: UART request monitor/driver expected queue vs completed AHB RBR read; compare only active WLS bits and FIFO/event ordering; require one comparison.
Coverage: RX × WLS5 × EVEN × STB2 × OSM16.</x:t>
        </x:is>
      </x:c>
      <x:c r="D88" s="17" t="str">
        <x:v>uart_rx_w5_even_s2_osm16_test</x:v>
      </x:c>
      <x:c r="E88" s="17" t="str">
        <x:v>Medium</x:v>
      </x:c>
      <x:c r="F88" s="17" t="str">
        <x:v>Directed</x:v>
      </x:c>
      <x:c r="G88" s="17"/>
      <x:c r="H88" s="23" t="inlineStr">
        <x:is>
          <x:t>Pass</x:t>
        </x:is>
      </x:c>
      <x:c r="I88" s="23" t="str">
        <x:v>M3</x:v>
      </x:c>
      <x:c r="J88" s="17" t="inlineStr">
        <x:is>
          <x:t>Spec §1.6.2 + §2.2.1/2.2.4; programmed baud = 100MHz/(54×16). EPS immaterial if PEN=0.
Validation 2026-10-24: PASS, Questa2021.2_1 seed1; completed scenario checks and required scoreboard comparisons.</x:t>
        </x:is>
      </x:c>
    </x:row>
    <x:row r="89" ht="210" customHeight="1">
      <x:c r="A89" s="22" t="str">
        <x:v>5.08</x:v>
      </x:c>
      <x:c r="B89" s="17" t="str">
        <x:v>RX 5E2 / 13×</x:v>
      </x:c>
      <x:c r="C89" s="17" t="inlineStr">
        <x:is>
          <x:t>Objective: Verify RX frame with 5-bit even parity, 2 stop bit(s) and 13× sampling.
Setup: Reset; HCLK=100MHz; MDR=0x01, DLL=0x43, DLH=0; LCR=0x3C; baud ≈114810.6 bps.
Stimulus: UART VIP drives 0x06 (masked from 0xA6) into uart_rxd; wait RX ready; read RBR 0x01C.
Expected: RX captures one 5E2 frame; RBR[WLS-1:0]=0x06; unused upper bits are not specified; no parity-error status for a valid frame.
Checker / PASS: UART request monitor/driver expected queue vs completed AHB RBR read; compare only active WLS bits and FIFO/event ordering; require one comparison.
Coverage: RX × WLS5 × EVEN × STB2 × OSM13.</x:t>
        </x:is>
      </x:c>
      <x:c r="D89" s="17" t="str">
        <x:v>uart_rx_w5_even_s2_osm13_test</x:v>
      </x:c>
      <x:c r="E89" s="17" t="str">
        <x:v>Medium</x:v>
      </x:c>
      <x:c r="F89" s="17" t="str">
        <x:v>Directed</x:v>
      </x:c>
      <x:c r="G89" s="17"/>
      <x:c r="H89" s="23" t="inlineStr">
        <x:is>
          <x:t>Pass</x:t>
        </x:is>
      </x:c>
      <x:c r="I89" s="23" t="str">
        <x:v>M3</x:v>
      </x:c>
      <x:c r="J89" s="17" t="inlineStr">
        <x:is>
          <x:t>Spec §1.6.2 + §2.2.1/2.2.4; programmed baud = 100MHz/(67×13). EPS immaterial if PEN=0.
Validation 2026-10-24: PASS, Questa2021.2_1 seed1; completed scenario checks and required scoreboard comparisons.</x:t>
        </x:is>
      </x:c>
    </x:row>
    <x:row r="90" ht="210" customHeight="1">
      <x:c r="A90" s="22" t="str">
        <x:v>5.09</x:v>
      </x:c>
      <x:c r="B90" s="17" t="str">
        <x:v>RX 5O1 / 16×</x:v>
      </x:c>
      <x:c r="C90" s="17" t="inlineStr">
        <x:is>
          <x:t>Objective: Verify RX frame with 5-bit odd parity, 1 stop bit(s) and 16× sampling.
Setup: Reset; HCLK=100MHz; MDR=0x00, DLL=0x36, DLH=0; LCR=0x28; baud ≈115740.7 bps.
Stimulus: UART VIP drives 0x06 (masked from 0xA6) into uart_rxd; wait RX ready; read RBR 0x01C.
Expected: RX captures one 5O1 frame; RBR[WLS-1:0]=0x06; unused upper bits are not specified; no parity-error status for a valid frame.
Checker / PASS: UART request monitor/driver expected queue vs completed AHB RBR read; compare only active WLS bits and FIFO/event ordering; require one comparison.
Coverage: RX × WLS5 × ODD × STB1 × OSM16.</x:t>
        </x:is>
      </x:c>
      <x:c r="D90" s="17" t="str">
        <x:v>uart_rx_w5_odd_s1_osm16_test</x:v>
      </x:c>
      <x:c r="E90" s="17" t="str">
        <x:v>Medium</x:v>
      </x:c>
      <x:c r="F90" s="17" t="str">
        <x:v>Directed</x:v>
      </x:c>
      <x:c r="G90" s="17"/>
      <x:c r="H90" s="23" t="inlineStr">
        <x:is>
          <x:t>Pass</x:t>
        </x:is>
      </x:c>
      <x:c r="I90" s="23" t="str">
        <x:v>M3</x:v>
      </x:c>
      <x:c r="J90" s="17" t="inlineStr">
        <x:is>
          <x:t>Spec §1.6.2 + §2.2.1/2.2.4; programmed baud = 100MHz/(54×16). EPS immaterial if PEN=0.
Validation 2026-10-24: PASS, Questa2021.2_1 seed1; completed scenario checks and required scoreboard comparisons.</x:t>
        </x:is>
      </x:c>
    </x:row>
    <x:row r="91" ht="210" customHeight="1">
      <x:c r="A91" s="22" t="str">
        <x:v>5.10</x:v>
      </x:c>
      <x:c r="B91" s="17" t="str">
        <x:v>RX 5O1 / 13×</x:v>
      </x:c>
      <x:c r="C91" s="17" t="inlineStr">
        <x:is>
          <x:t>Objective: Verify RX frame with 5-bit odd parity, 1 stop bit(s) and 13× sampling.
Setup: Reset; HCLK=100MHz; MDR=0x01, DLL=0x43, DLH=0; LCR=0x28; baud ≈114810.6 bps.
Stimulus: UART VIP drives 0x06 (masked from 0xA6) into uart_rxd; wait RX ready; read RBR 0x01C.
Expected: RX captures one 5O1 frame; RBR[WLS-1:0]=0x06; unused upper bits are not specified; no parity-error status for a valid frame.
Checker / PASS: UART request monitor/driver expected queue vs completed AHB RBR read; compare only active WLS bits and FIFO/event ordering; require one comparison.
Coverage: RX × WLS5 × ODD × STB1 × OSM13.</x:t>
        </x:is>
      </x:c>
      <x:c r="D91" s="17" t="str">
        <x:v>uart_rx_w5_odd_s1_osm13_test</x:v>
      </x:c>
      <x:c r="E91" s="17" t="str">
        <x:v>Medium</x:v>
      </x:c>
      <x:c r="F91" s="17" t="str">
        <x:v>Directed</x:v>
      </x:c>
      <x:c r="G91" s="17"/>
      <x:c r="H91" s="23" t="inlineStr">
        <x:is>
          <x:t>Pass</x:t>
        </x:is>
      </x:c>
      <x:c r="I91" s="23" t="str">
        <x:v>M3</x:v>
      </x:c>
      <x:c r="J91" s="17" t="inlineStr">
        <x:is>
          <x:t>Spec §1.6.2 + §2.2.1/2.2.4; programmed baud = 100MHz/(67×13). EPS immaterial if PEN=0.
Validation 2026-10-24: PASS, Questa2021.2_1 seed1; completed scenario checks and required scoreboard comparisons.</x:t>
        </x:is>
      </x:c>
    </x:row>
    <x:row r="92" ht="210" customHeight="1">
      <x:c r="A92" s="22" t="str">
        <x:v>5.11</x:v>
      </x:c>
      <x:c r="B92" s="17" t="str">
        <x:v>RX 5O2 / 16×</x:v>
      </x:c>
      <x:c r="C92" s="17" t="inlineStr">
        <x:is>
          <x:t>Objective: Verify RX frame with 5-bit odd parity, 2 stop bit(s) and 16× sampling.
Setup: Reset; HCLK=100MHz; MDR=0x00, DLL=0x36, DLH=0; LCR=0x2C; baud ≈115740.7 bps.
Stimulus: UART VIP drives 0x06 (masked from 0xA6) into uart_rxd; wait RX ready; read RBR 0x01C.
Expected: RX captures one 5O2 frame; RBR[WLS-1:0]=0x06; unused upper bits are not specified; no parity-error status for a valid frame.
Checker / PASS: UART request monitor/driver expected queue vs completed AHB RBR read; compare only active WLS bits and FIFO/event ordering; require one comparison.
Coverage: RX × WLS5 × ODD × STB2 × OSM16.</x:t>
        </x:is>
      </x:c>
      <x:c r="D92" s="17" t="str">
        <x:v>uart_rx_w5_odd_s2_osm16_test</x:v>
      </x:c>
      <x:c r="E92" s="17" t="str">
        <x:v>Medium</x:v>
      </x:c>
      <x:c r="F92" s="17" t="str">
        <x:v>Directed</x:v>
      </x:c>
      <x:c r="G92" s="17"/>
      <x:c r="H92" s="23" t="inlineStr">
        <x:is>
          <x:t xml:space="preserve">Pass</x:t>
        </x:is>
      </x:c>
      <x:c r="I92" s="23" t="str">
        <x:v>M3</x:v>
      </x:c>
      <x:c r="J92" s="17" t="inlineStr">
        <x:is>
          <x:t xml:space="preserve">Spec §1.6.2 + §2.2.1/2.2.4; programmed baud = 100MHz/(54×16). EPS immaterial if PEN=0.
Validation 2026-10-24: PASS, Questa2021.2_1 seed1; completed scenario checks and required scoreboard comparisons.
VIP timing recheck 2026-10-24: PASS after simultaneous TX/RX thread isolation and absolute frame-end deadline fixes; Questa2021.2_1 seed1. No error catcher attached to DUT environment.</x:t>
        </x:is>
      </x:c>
    </x:row>
    <x:row r="93" ht="210" customHeight="1">
      <x:c r="A93" s="22" t="str">
        <x:v>5.12</x:v>
      </x:c>
      <x:c r="B93" s="17" t="str">
        <x:v>RX 5O2 / 13×</x:v>
      </x:c>
      <x:c r="C93" s="17" t="inlineStr">
        <x:is>
          <x:t>Objective: Verify RX frame with 5-bit odd parity, 2 stop bit(s) and 13× sampling.
Setup: Reset; HCLK=100MHz; MDR=0x01, DLL=0x43, DLH=0; LCR=0x2C; baud ≈114810.6 bps.
Stimulus: UART VIP drives 0x06 (masked from 0xA6) into uart_rxd; wait RX ready; read RBR 0x01C.
Expected: RX captures one 5O2 frame; RBR[WLS-1:0]=0x06; unused upper bits are not specified; no parity-error status for a valid frame.
Checker / PASS: UART request monitor/driver expected queue vs completed AHB RBR read; compare only active WLS bits and FIFO/event ordering; require one comparison.
Coverage: RX × WLS5 × ODD × STB2 × OSM13.</x:t>
        </x:is>
      </x:c>
      <x:c r="D93" s="17" t="str">
        <x:v>uart_rx_w5_odd_s2_osm13_test</x:v>
      </x:c>
      <x:c r="E93" s="17" t="str">
        <x:v>Medium</x:v>
      </x:c>
      <x:c r="F93" s="17" t="str">
        <x:v>Directed</x:v>
      </x:c>
      <x:c r="G93" s="17"/>
      <x:c r="H93" s="23" t="inlineStr">
        <x:is>
          <x:t>Pass</x:t>
        </x:is>
      </x:c>
      <x:c r="I93" s="23" t="str">
        <x:v>M3</x:v>
      </x:c>
      <x:c r="J93" s="17" t="inlineStr">
        <x:is>
          <x:t>Spec §1.6.2 + §2.2.1/2.2.4; programmed baud = 100MHz/(67×13). EPS immaterial if PEN=0.
Validation 2026-10-24: PASS, Questa2021.2_1 seed1; completed scenario checks and required scoreboard comparisons.</x:t>
        </x:is>
      </x:c>
    </x:row>
    <x:row r="94" ht="210" customHeight="1">
      <x:c r="A94" s="22" t="str">
        <x:v>5.13</x:v>
      </x:c>
      <x:c r="B94" s="17" t="str">
        <x:v>RX 6N1 / 16×</x:v>
      </x:c>
      <x:c r="C94" s="17" t="inlineStr">
        <x:is>
          <x:t>Objective: Verify RX frame with 6-bit none parity, 1 stop bit(s) and 16× sampling.
Setup: Reset; HCLK=100MHz; MDR=0x00, DLL=0x36, DLH=0; LCR=0x21; baud ≈115740.7 bps.
Stimulus: UART VIP drives 0x26 (masked from 0xA6) into uart_rxd; wait RX ready; read RBR 0x01C.
Expected: RX captures one 6N1 frame; RBR[WLS-1:0]=0x26; unused upper bits are not specified; no parity-error status for a valid frame.
Checker / PASS: UART request monitor/driver expected queue vs completed AHB RBR read; compare only active WLS bits and FIFO/event ordering; require one comparison.
Coverage: RX × WLS6 × NONE × STB1 × OSM16.</x:t>
        </x:is>
      </x:c>
      <x:c r="D94" s="17" t="str">
        <x:v>uart_rx_w6_none_s1_osm16_test</x:v>
      </x:c>
      <x:c r="E94" s="17" t="str">
        <x:v>Medium</x:v>
      </x:c>
      <x:c r="F94" s="17" t="str">
        <x:v>Directed</x:v>
      </x:c>
      <x:c r="G94" s="17"/>
      <x:c r="H94" s="23" t="inlineStr">
        <x:is>
          <x:t>Pass</x:t>
        </x:is>
      </x:c>
      <x:c r="I94" s="23" t="str">
        <x:v>M3</x:v>
      </x:c>
      <x:c r="J94" s="17" t="inlineStr">
        <x:is>
          <x:t>Spec §1.6.2 + §2.2.1/2.2.4; programmed baud = 100MHz/(54×16). EPS immaterial if PEN=0.
Validation 2026-10-24: PASS, Questa2021.2_1 seed1; completed scenario checks and required scoreboard comparisons.</x:t>
        </x:is>
      </x:c>
    </x:row>
    <x:row r="95" ht="210" customHeight="1">
      <x:c r="A95" s="22" t="str">
        <x:v>5.14</x:v>
      </x:c>
      <x:c r="B95" s="17" t="str">
        <x:v>RX 6N1 / 13×</x:v>
      </x:c>
      <x:c r="C95" s="17" t="inlineStr">
        <x:is>
          <x:t>Objective: Verify RX frame with 6-bit none parity, 1 stop bit(s) and 13× sampling.
Setup: Reset; HCLK=100MHz; MDR=0x01, DLL=0x43, DLH=0; LCR=0x21; baud ≈114810.6 bps.
Stimulus: UART VIP drives 0x26 (masked from 0xA6) into uart_rxd; wait RX ready; read RBR 0x01C.
Expected: RX captures one 6N1 frame; RBR[WLS-1:0]=0x26; unused upper bits are not specified; no parity-error status for a valid frame.
Checker / PASS: UART request monitor/driver expected queue vs completed AHB RBR read; compare only active WLS bits and FIFO/event ordering; require one comparison.
Coverage: RX × WLS6 × NONE × STB1 × OSM13.</x:t>
        </x:is>
      </x:c>
      <x:c r="D95" s="17" t="str">
        <x:v>uart_rx_w6_none_s1_osm13_test</x:v>
      </x:c>
      <x:c r="E95" s="17" t="str">
        <x:v>Medium</x:v>
      </x:c>
      <x:c r="F95" s="17" t="str">
        <x:v>Directed</x:v>
      </x:c>
      <x:c r="G95" s="17"/>
      <x:c r="H95" s="23" t="inlineStr">
        <x:is>
          <x:t>Pass</x:t>
        </x:is>
      </x:c>
      <x:c r="I95" s="23" t="str">
        <x:v>M3</x:v>
      </x:c>
      <x:c r="J95" s="17" t="inlineStr">
        <x:is>
          <x:t>Spec §1.6.2 + §2.2.1/2.2.4; programmed baud = 100MHz/(67×13). EPS immaterial if PEN=0.
Validation 2026-10-24: PASS, Questa2021.2_1 seed1; completed scenario checks and required scoreboard comparisons.</x:t>
        </x:is>
      </x:c>
    </x:row>
    <x:row r="96" ht="210" customHeight="1">
      <x:c r="A96" s="22" t="str">
        <x:v>5.15</x:v>
      </x:c>
      <x:c r="B96" s="17" t="str">
        <x:v>RX 6N2 / 16×</x:v>
      </x:c>
      <x:c r="C96" s="17" t="inlineStr">
        <x:is>
          <x:t>Objective: Verify RX frame with 6-bit none parity, 2 stop bit(s) and 16× sampling.
Setup: Reset; HCLK=100MHz; MDR=0x00, DLL=0x36, DLH=0; LCR=0x25; baud ≈115740.7 bps.
Stimulus: UART VIP drives 0x26 (masked from 0xA6) into uart_rxd; wait RX ready; read RBR 0x01C.
Expected: RX captures one 6N2 frame; RBR[WLS-1:0]=0x26; unused upper bits are not specified; no parity-error status for a valid frame.
Checker / PASS: UART request monitor/driver expected queue vs completed AHB RBR read; compare only active WLS bits and FIFO/event ordering; require one comparison.
Coverage: RX × WLS6 × NONE × STB2 × OSM16.</x:t>
        </x:is>
      </x:c>
      <x:c r="D96" s="17" t="str">
        <x:v>uart_rx_w6_none_s2_osm16_test</x:v>
      </x:c>
      <x:c r="E96" s="17" t="str">
        <x:v>Medium</x:v>
      </x:c>
      <x:c r="F96" s="17" t="str">
        <x:v>Directed</x:v>
      </x:c>
      <x:c r="G96" s="17"/>
      <x:c r="H96" s="23" t="inlineStr">
        <x:is>
          <x:t>Pass</x:t>
        </x:is>
      </x:c>
      <x:c r="I96" s="23" t="str">
        <x:v>M3</x:v>
      </x:c>
      <x:c r="J96" s="17" t="inlineStr">
        <x:is>
          <x:t>Spec §1.6.2 + §2.2.1/2.2.4; programmed baud = 100MHz/(54×16). EPS immaterial if PEN=0.
Validation 2026-10-24: PASS, Questa2021.2_1 seed1; completed scenario checks and required scoreboard comparisons.</x:t>
        </x:is>
      </x:c>
    </x:row>
    <x:row r="97" ht="210" customHeight="1">
      <x:c r="A97" s="22" t="str">
        <x:v>5.16</x:v>
      </x:c>
      <x:c r="B97" s="17" t="str">
        <x:v>RX 6N2 / 13×</x:v>
      </x:c>
      <x:c r="C97" s="17" t="inlineStr">
        <x:is>
          <x:t>Objective: Verify RX frame with 6-bit none parity, 2 stop bit(s) and 13× sampling.
Setup: Reset; HCLK=100MHz; MDR=0x01, DLL=0x43, DLH=0; LCR=0x25; baud ≈114810.6 bps.
Stimulus: UART VIP drives 0x26 (masked from 0xA6) into uart_rxd; wait RX ready; read RBR 0x01C.
Expected: RX captures one 6N2 frame; RBR[WLS-1:0]=0x26; unused upper bits are not specified; no parity-error status for a valid frame.
Checker / PASS: UART request monitor/driver expected queue vs completed AHB RBR read; compare only active WLS bits and FIFO/event ordering; require one comparison.
Coverage: RX × WLS6 × NONE × STB2 × OSM13.</x:t>
        </x:is>
      </x:c>
      <x:c r="D97" s="17" t="str">
        <x:v>uart_rx_w6_none_s2_osm13_test</x:v>
      </x:c>
      <x:c r="E97" s="17" t="str">
        <x:v>Medium</x:v>
      </x:c>
      <x:c r="F97" s="17" t="str">
        <x:v>Directed</x:v>
      </x:c>
      <x:c r="G97" s="17"/>
      <x:c r="H97" s="23" t="inlineStr">
        <x:is>
          <x:t xml:space="preserve">Pass</x:t>
        </x:is>
      </x:c>
      <x:c r="I97" s="23" t="str">
        <x:v>M3</x:v>
      </x:c>
      <x:c r="J97" s="17" t="inlineStr">
        <x:is>
          <x:t xml:space="preserve">Spec §1.6.2 + §2.2.1/2.2.4; programmed baud = 100MHz/(67×13). EPS immaterial if PEN=0.
Validation 2026-10-24: PASS, Questa2021.2_1 seed1; completed scenario checks and required scoreboard comparisons.
VIP timing recheck 2026-10-24: PASS after simultaneous TX/RX thread isolation and absolute frame-end deadline fixes; Questa2021.2_1 seed1. No error catcher attached to DUT environment.</x:t>
        </x:is>
      </x:c>
    </x:row>
    <x:row r="98" ht="210" customHeight="1">
      <x:c r="A98" s="22" t="str">
        <x:v>5.17</x:v>
      </x:c>
      <x:c r="B98" s="17" t="str">
        <x:v>RX 6E1 / 16×</x:v>
      </x:c>
      <x:c r="C98" s="17" t="inlineStr">
        <x:is>
          <x:t>Objective: Verify RX frame with 6-bit even parity, 1 stop bit(s) and 16× sampling.
Setup: Reset; HCLK=100MHz; MDR=0x00, DLL=0x36, DLH=0; LCR=0x39; baud ≈115740.7 bps.
Stimulus: UART VIP drives 0x26 (masked from 0xA6) into uart_rxd; wait RX ready; read RBR 0x01C.
Expected: RX captures one 6E1 frame; RBR[WLS-1:0]=0x26; unused upper bits are not specified; no parity-error status for a valid frame.
Checker / PASS: UART request monitor/driver expected queue vs completed AHB RBR read; compare only active WLS bits and FIFO/event ordering; require one comparison.
Coverage: RX × WLS6 × EVEN × STB1 × OSM16.</x:t>
        </x:is>
      </x:c>
      <x:c r="D98" s="17" t="str">
        <x:v>uart_rx_w6_even_s1_osm16_test</x:v>
      </x:c>
      <x:c r="E98" s="17" t="str">
        <x:v>Medium</x:v>
      </x:c>
      <x:c r="F98" s="17" t="str">
        <x:v>Directed</x:v>
      </x:c>
      <x:c r="G98" s="17"/>
      <x:c r="H98" s="23" t="inlineStr">
        <x:is>
          <x:t>Pass</x:t>
        </x:is>
      </x:c>
      <x:c r="I98" s="23" t="str">
        <x:v>M3</x:v>
      </x:c>
      <x:c r="J98" s="17" t="inlineStr">
        <x:is>
          <x:t>Spec §1.6.2 + §2.2.1/2.2.4; programmed baud = 100MHz/(54×16). EPS immaterial if PEN=0.
Validation 2026-10-24: PASS, Questa2021.2_1 seed1; completed scenario checks and required scoreboard comparisons.</x:t>
        </x:is>
      </x:c>
    </x:row>
    <x:row r="99" ht="210" customHeight="1">
      <x:c r="A99" s="22" t="str">
        <x:v>5.18</x:v>
      </x:c>
      <x:c r="B99" s="17" t="str">
        <x:v>RX 6E1 / 13×</x:v>
      </x:c>
      <x:c r="C99" s="17" t="inlineStr">
        <x:is>
          <x:t>Objective: Verify RX frame with 6-bit even parity, 1 stop bit(s) and 13× sampling.
Setup: Reset; HCLK=100MHz; MDR=0x01, DLL=0x43, DLH=0; LCR=0x39; baud ≈114810.6 bps.
Stimulus: UART VIP drives 0x26 (masked from 0xA6) into uart_rxd; wait RX ready; read RBR 0x01C.
Expected: RX captures one 6E1 frame; RBR[WLS-1:0]=0x26; unused upper bits are not specified; no parity-error status for a valid frame.
Checker / PASS: UART request monitor/driver expected queue vs completed AHB RBR read; compare only active WLS bits and FIFO/event ordering; require one comparison.
Coverage: RX × WLS6 × EVEN × STB1 × OSM13.</x:t>
        </x:is>
      </x:c>
      <x:c r="D99" s="17" t="str">
        <x:v>uart_rx_w6_even_s1_osm13_test</x:v>
      </x:c>
      <x:c r="E99" s="17" t="str">
        <x:v>Medium</x:v>
      </x:c>
      <x:c r="F99" s="17" t="str">
        <x:v>Directed</x:v>
      </x:c>
      <x:c r="G99" s="17"/>
      <x:c r="H99" s="23" t="inlineStr">
        <x:is>
          <x:t>Pass</x:t>
        </x:is>
      </x:c>
      <x:c r="I99" s="23" t="str">
        <x:v>M3</x:v>
      </x:c>
      <x:c r="J99" s="17" t="inlineStr">
        <x:is>
          <x:t>Spec §1.6.2 + §2.2.1/2.2.4; programmed baud = 100MHz/(67×13). EPS immaterial if PEN=0.
Validation 2026-10-24: PASS, Questa2021.2_1 seed1; completed scenario checks and required scoreboard comparisons.</x:t>
        </x:is>
      </x:c>
    </x:row>
    <x:row r="100" ht="210" customHeight="1">
      <x:c r="A100" s="22" t="str">
        <x:v>5.19</x:v>
      </x:c>
      <x:c r="B100" s="17" t="str">
        <x:v>RX 6E2 / 16×</x:v>
      </x:c>
      <x:c r="C100" s="17" t="inlineStr">
        <x:is>
          <x:t>Objective: Verify RX frame with 6-bit even parity, 2 stop bit(s) and 16× sampling.
Setup: Reset; HCLK=100MHz; MDR=0x00, DLL=0x36, DLH=0; LCR=0x3D; baud ≈115740.7 bps.
Stimulus: UART VIP drives 0x26 (masked from 0xA6) into uart_rxd; wait RX ready; read RBR 0x01C.
Expected: RX captures one 6E2 frame; RBR[WLS-1:0]=0x26; unused upper bits are not specified; no parity-error status for a valid frame.
Checker / PASS: UART request monitor/driver expected queue vs completed AHB RBR read; compare only active WLS bits and FIFO/event ordering; require one comparison.
Coverage: RX × WLS6 × EVEN × STB2 × OSM16.</x:t>
        </x:is>
      </x:c>
      <x:c r="D100" s="17" t="str">
        <x:v>uart_rx_w6_even_s2_osm16_test</x:v>
      </x:c>
      <x:c r="E100" s="17" t="str">
        <x:v>Medium</x:v>
      </x:c>
      <x:c r="F100" s="17" t="str">
        <x:v>Directed</x:v>
      </x:c>
      <x:c r="G100" s="17"/>
      <x:c r="H100" s="23" t="inlineStr">
        <x:is>
          <x:t>Pass</x:t>
        </x:is>
      </x:c>
      <x:c r="I100" s="23" t="str">
        <x:v>M3</x:v>
      </x:c>
      <x:c r="J100" s="17" t="inlineStr">
        <x:is>
          <x:t>Spec §1.6.2 + §2.2.1/2.2.4; programmed baud = 100MHz/(54×16). EPS immaterial if PEN=0.
Validation 2026-10-24: PASS, Questa2021.2_1 seed1; completed scenario checks and required scoreboard comparisons.</x:t>
        </x:is>
      </x:c>
    </x:row>
    <x:row r="101" ht="210" customHeight="1">
      <x:c r="A101" s="22" t="str">
        <x:v>5.20</x:v>
      </x:c>
      <x:c r="B101" s="17" t="str">
        <x:v>RX 6E2 / 13×</x:v>
      </x:c>
      <x:c r="C101" s="17" t="inlineStr">
        <x:is>
          <x:t>Objective: Verify RX frame with 6-bit even parity, 2 stop bit(s) and 13× sampling.
Setup: Reset; HCLK=100MHz; MDR=0x01, DLL=0x43, DLH=0; LCR=0x3D; baud ≈114810.6 bps.
Stimulus: UART VIP drives 0x26 (masked from 0xA6) into uart_rxd; wait RX ready; read RBR 0x01C.
Expected: RX captures one 6E2 frame; RBR[WLS-1:0]=0x26; unused upper bits are not specified; no parity-error status for a valid frame.
Checker / PASS: UART request monitor/driver expected queue vs completed AHB RBR read; compare only active WLS bits and FIFO/event ordering; require one comparison.
Coverage: RX × WLS6 × EVEN × STB2 × OSM13.</x:t>
        </x:is>
      </x:c>
      <x:c r="D101" s="17" t="str">
        <x:v>uart_rx_w6_even_s2_osm13_test</x:v>
      </x:c>
      <x:c r="E101" s="17" t="str">
        <x:v>Medium</x:v>
      </x:c>
      <x:c r="F101" s="17" t="str">
        <x:v>Directed</x:v>
      </x:c>
      <x:c r="G101" s="17"/>
      <x:c r="H101" s="23" t="inlineStr">
        <x:is>
          <x:t>Pass</x:t>
        </x:is>
      </x:c>
      <x:c r="I101" s="23" t="str">
        <x:v>M3</x:v>
      </x:c>
      <x:c r="J101" s="17" t="inlineStr">
        <x:is>
          <x:t>Spec §1.6.2 + §2.2.1/2.2.4; programmed baud = 100MHz/(67×13). EPS immaterial if PEN=0.
Validation 2026-10-24: PASS, Questa2021.2_1 seed1; completed scenario checks and required scoreboard comparisons.</x:t>
        </x:is>
      </x:c>
    </x:row>
    <x:row r="102" ht="210" customHeight="1">
      <x:c r="A102" s="22" t="str">
        <x:v>5.21</x:v>
      </x:c>
      <x:c r="B102" s="17" t="str">
        <x:v>RX 6O1 / 16×</x:v>
      </x:c>
      <x:c r="C102" s="17" t="inlineStr">
        <x:is>
          <x:t>Objective: Verify RX frame with 6-bit odd parity, 1 stop bit(s) and 16× sampling.
Setup: Reset; HCLK=100MHz; MDR=0x00, DLL=0x36, DLH=0; LCR=0x29; baud ≈115740.7 bps.
Stimulus: UART VIP drives 0x26 (masked from 0xA6) into uart_rxd; wait RX ready; read RBR 0x01C.
Expected: RX captures one 6O1 frame; RBR[WLS-1:0]=0x26; unused upper bits are not specified; no parity-error status for a valid frame.
Checker / PASS: UART request monitor/driver expected queue vs completed AHB RBR read; compare only active WLS bits and FIFO/event ordering; require one comparison.
Coverage: RX × WLS6 × ODD × STB1 × OSM16.</x:t>
        </x:is>
      </x:c>
      <x:c r="D102" s="17" t="str">
        <x:v>uart_rx_w6_odd_s1_osm16_test</x:v>
      </x:c>
      <x:c r="E102" s="17" t="str">
        <x:v>Medium</x:v>
      </x:c>
      <x:c r="F102" s="17" t="str">
        <x:v>Directed</x:v>
      </x:c>
      <x:c r="G102" s="17"/>
      <x:c r="H102" s="23" t="inlineStr">
        <x:is>
          <x:t>Pass</x:t>
        </x:is>
      </x:c>
      <x:c r="I102" s="23" t="str">
        <x:v>M3</x:v>
      </x:c>
      <x:c r="J102" s="17" t="inlineStr">
        <x:is>
          <x:t>Spec §1.6.2 + §2.2.1/2.2.4; programmed baud = 100MHz/(54×16). EPS immaterial if PEN=0.
Validation 2026-10-24: PASS, Questa2021.2_1 seed1; completed scenario checks and required scoreboard comparisons.</x:t>
        </x:is>
      </x:c>
    </x:row>
    <x:row r="103" ht="210" customHeight="1">
      <x:c r="A103" s="22" t="str">
        <x:v>5.22</x:v>
      </x:c>
      <x:c r="B103" s="17" t="str">
        <x:v>RX 6O1 / 13×</x:v>
      </x:c>
      <x:c r="C103" s="17" t="inlineStr">
        <x:is>
          <x:t>Objective: Verify RX frame with 6-bit odd parity, 1 stop bit(s) and 13× sampling.
Setup: Reset; HCLK=100MHz; MDR=0x01, DLL=0x43, DLH=0; LCR=0x29; baud ≈114810.6 bps.
Stimulus: UART VIP drives 0x26 (masked from 0xA6) into uart_rxd; wait RX ready; read RBR 0x01C.
Expected: RX captures one 6O1 frame; RBR[WLS-1:0]=0x26; unused upper bits are not specified; no parity-error status for a valid frame.
Checker / PASS: UART request monitor/driver expected queue vs completed AHB RBR read; compare only active WLS bits and FIFO/event ordering; require one comparison.
Coverage: RX × WLS6 × ODD × STB1 × OSM13.</x:t>
        </x:is>
      </x:c>
      <x:c r="D103" s="17" t="str">
        <x:v>uart_rx_w6_odd_s1_osm13_test</x:v>
      </x:c>
      <x:c r="E103" s="17" t="str">
        <x:v>Medium</x:v>
      </x:c>
      <x:c r="F103" s="17" t="str">
        <x:v>Directed</x:v>
      </x:c>
      <x:c r="G103" s="17"/>
      <x:c r="H103" s="23" t="inlineStr">
        <x:is>
          <x:t>Pass</x:t>
        </x:is>
      </x:c>
      <x:c r="I103" s="23" t="str">
        <x:v>M3</x:v>
      </x:c>
      <x:c r="J103" s="17" t="inlineStr">
        <x:is>
          <x:t>Spec §1.6.2 + §2.2.1/2.2.4; programmed baud = 100MHz/(67×13). EPS immaterial if PEN=0.
Validation 2026-10-24: PASS, Questa2021.2_1 seed1; completed scenario checks and required scoreboard comparisons.</x:t>
        </x:is>
      </x:c>
    </x:row>
    <x:row r="104" ht="210" customHeight="1">
      <x:c r="A104" s="22" t="str">
        <x:v>5.23</x:v>
      </x:c>
      <x:c r="B104" s="17" t="str">
        <x:v>RX 6O2 / 16×</x:v>
      </x:c>
      <x:c r="C104" s="17" t="inlineStr">
        <x:is>
          <x:t>Objective: Verify RX frame with 6-bit odd parity, 2 stop bit(s) and 16× sampling.
Setup: Reset; HCLK=100MHz; MDR=0x00, DLL=0x36, DLH=0; LCR=0x2D; baud ≈115740.7 bps.
Stimulus: UART VIP drives 0x26 (masked from 0xA6) into uart_rxd; wait RX ready; read RBR 0x01C.
Expected: RX captures one 6O2 frame; RBR[WLS-1:0]=0x26; unused upper bits are not specified; no parity-error status for a valid frame.
Checker / PASS: UART request monitor/driver expected queue vs completed AHB RBR read; compare only active WLS bits and FIFO/event ordering; require one comparison.
Coverage: RX × WLS6 × ODD × STB2 × OSM16.</x:t>
        </x:is>
      </x:c>
      <x:c r="D104" s="17" t="str">
        <x:v>uart_rx_w6_odd_s2_osm16_test</x:v>
      </x:c>
      <x:c r="E104" s="17" t="str">
        <x:v>Medium</x:v>
      </x:c>
      <x:c r="F104" s="17" t="str">
        <x:v>Directed</x:v>
      </x:c>
      <x:c r="G104" s="17"/>
      <x:c r="H104" s="23" t="inlineStr">
        <x:is>
          <x:t>Pass</x:t>
        </x:is>
      </x:c>
      <x:c r="I104" s="23" t="str">
        <x:v>M3</x:v>
      </x:c>
      <x:c r="J104" s="17" t="inlineStr">
        <x:is>
          <x:t>Spec §1.6.2 + §2.2.1/2.2.4; programmed baud = 100MHz/(54×16). EPS immaterial if PEN=0.
Validation 2026-10-24: PASS, Questa2021.2_1 seed1; completed scenario checks and required scoreboard comparisons.</x:t>
        </x:is>
      </x:c>
    </x:row>
    <x:row r="105" ht="210" customHeight="1">
      <x:c r="A105" s="22" t="str">
        <x:v>5.24</x:v>
      </x:c>
      <x:c r="B105" s="17" t="str">
        <x:v>RX 6O2 / 13×</x:v>
      </x:c>
      <x:c r="C105" s="17" t="inlineStr">
        <x:is>
          <x:t>Objective: Verify RX frame with 6-bit odd parity, 2 stop bit(s) and 13× sampling.
Setup: Reset; HCLK=100MHz; MDR=0x01, DLL=0x43, DLH=0; LCR=0x2D; baud ≈114810.6 bps.
Stimulus: UART VIP drives 0x26 (masked from 0xA6) into uart_rxd; wait RX ready; read RBR 0x01C.
Expected: RX captures one 6O2 frame; RBR[WLS-1:0]=0x26; unused upper bits are not specified; no parity-error status for a valid frame.
Checker / PASS: UART request monitor/driver expected queue vs completed AHB RBR read; compare only active WLS bits and FIFO/event ordering; require one comparison.
Coverage: RX × WLS6 × ODD × STB2 × OSM13.</x:t>
        </x:is>
      </x:c>
      <x:c r="D105" s="17" t="str">
        <x:v>uart_rx_w6_odd_s2_osm13_test</x:v>
      </x:c>
      <x:c r="E105" s="17" t="str">
        <x:v>Medium</x:v>
      </x:c>
      <x:c r="F105" s="17" t="str">
        <x:v>Directed</x:v>
      </x:c>
      <x:c r="G105" s="17"/>
      <x:c r="H105" s="23" t="inlineStr">
        <x:is>
          <x:t>Pass</x:t>
        </x:is>
      </x:c>
      <x:c r="I105" s="23" t="str">
        <x:v>M3</x:v>
      </x:c>
      <x:c r="J105" s="17" t="inlineStr">
        <x:is>
          <x:t>Spec §1.6.2 + §2.2.1/2.2.4; programmed baud = 100MHz/(67×13). EPS immaterial if PEN=0.
Validation 2026-10-24: PASS, Questa2021.2_1 seed1; completed scenario checks and required scoreboard comparisons.</x:t>
        </x:is>
      </x:c>
    </x:row>
    <x:row r="106" ht="210" customHeight="1">
      <x:c r="A106" s="22" t="str">
        <x:v>5.25</x:v>
      </x:c>
      <x:c r="B106" s="17" t="str">
        <x:v>RX 7N1 / 16×</x:v>
      </x:c>
      <x:c r="C106" s="17" t="inlineStr">
        <x:is>
          <x:t>Objective: Verify RX frame with 7-bit none parity, 1 stop bit(s) and 16× sampling.
Setup: Reset; HCLK=100MHz; MDR=0x00, DLL=0x36, DLH=0; LCR=0x22; baud ≈115740.7 bps.
Stimulus: UART VIP drives 0x26 (masked from 0xA6) into uart_rxd; wait RX ready; read RBR 0x01C.
Expected: RX captures one 7N1 frame; RBR[WLS-1:0]=0x26; unused upper bits are not specified; no parity-error status for a valid frame.
Checker / PASS: UART request monitor/driver expected queue vs completed AHB RBR read; compare only active WLS bits and FIFO/event ordering; require one comparison.
Coverage: RX × WLS7 × NONE × STB1 × OSM16.</x:t>
        </x:is>
      </x:c>
      <x:c r="D106" s="17" t="str">
        <x:v>uart_rx_w7_none_s1_osm16_test</x:v>
      </x:c>
      <x:c r="E106" s="17" t="str">
        <x:v>Medium</x:v>
      </x:c>
      <x:c r="F106" s="17" t="str">
        <x:v>Directed</x:v>
      </x:c>
      <x:c r="G106" s="17"/>
      <x:c r="H106" s="23" t="inlineStr">
        <x:is>
          <x:t>Pass</x:t>
        </x:is>
      </x:c>
      <x:c r="I106" s="23" t="str">
        <x:v>M3</x:v>
      </x:c>
      <x:c r="J106" s="17" t="inlineStr">
        <x:is>
          <x:t>Spec §1.6.2 + §2.2.1/2.2.4; programmed baud = 100MHz/(54×16). EPS immaterial if PEN=0.
Validation 2026-10-24: PASS, Questa2021.2_1 seed1; completed scenario checks and required scoreboard comparisons.</x:t>
        </x:is>
      </x:c>
    </x:row>
    <x:row r="107" ht="210" customHeight="1">
      <x:c r="A107" s="22" t="str">
        <x:v>5.26</x:v>
      </x:c>
      <x:c r="B107" s="17" t="str">
        <x:v>RX 7N1 / 13×</x:v>
      </x:c>
      <x:c r="C107" s="17" t="inlineStr">
        <x:is>
          <x:t>Objective: Verify RX frame with 7-bit none parity, 1 stop bit(s) and 13× sampling.
Setup: Reset; HCLK=100MHz; MDR=0x01, DLL=0x43, DLH=0; LCR=0x22; baud ≈114810.6 bps.
Stimulus: UART VIP drives 0x26 (masked from 0xA6) into uart_rxd; wait RX ready; read RBR 0x01C.
Expected: RX captures one 7N1 frame; RBR[WLS-1:0]=0x26; unused upper bits are not specified; no parity-error status for a valid frame.
Checker / PASS: UART request monitor/driver expected queue vs completed AHB RBR read; compare only active WLS bits and FIFO/event ordering; require one comparison.
Coverage: RX × WLS7 × NONE × STB1 × OSM13.</x:t>
        </x:is>
      </x:c>
      <x:c r="D107" s="17" t="str">
        <x:v>uart_rx_w7_none_s1_osm13_test</x:v>
      </x:c>
      <x:c r="E107" s="17" t="str">
        <x:v>Medium</x:v>
      </x:c>
      <x:c r="F107" s="17" t="str">
        <x:v>Directed</x:v>
      </x:c>
      <x:c r="G107" s="17"/>
      <x:c r="H107" s="23" t="inlineStr">
        <x:is>
          <x:t>Pass</x:t>
        </x:is>
      </x:c>
      <x:c r="I107" s="23" t="str">
        <x:v>M3</x:v>
      </x:c>
      <x:c r="J107" s="17" t="inlineStr">
        <x:is>
          <x:t>Spec §1.6.2 + §2.2.1/2.2.4; programmed baud = 100MHz/(67×13). EPS immaterial if PEN=0.
Validation 2026-10-24: PASS, Questa2021.2_1 seed1; completed scenario checks and required scoreboard comparisons.</x:t>
        </x:is>
      </x:c>
    </x:row>
    <x:row r="108" ht="210" customHeight="1">
      <x:c r="A108" s="22" t="str">
        <x:v>5.27</x:v>
      </x:c>
      <x:c r="B108" s="17" t="str">
        <x:v>RX 7N2 / 16×</x:v>
      </x:c>
      <x:c r="C108" s="17" t="inlineStr">
        <x:is>
          <x:t>Objective: Verify RX frame with 7-bit none parity, 2 stop bit(s) and 16× sampling.
Setup: Reset; HCLK=100MHz; MDR=0x00, DLL=0x36, DLH=0; LCR=0x26; baud ≈115740.7 bps.
Stimulus: UART VIP drives 0x26 (masked from 0xA6) into uart_rxd; wait RX ready; read RBR 0x01C.
Expected: RX captures one 7N2 frame; RBR[WLS-1:0]=0x26; unused upper bits are not specified; no parity-error status for a valid frame.
Checker / PASS: UART request monitor/driver expected queue vs completed AHB RBR read; compare only active WLS bits and FIFO/event ordering; require one comparison.
Coverage: RX × WLS7 × NONE × STB2 × OSM16.</x:t>
        </x:is>
      </x:c>
      <x:c r="D108" s="17" t="str">
        <x:v>uart_rx_w7_none_s2_osm16_test</x:v>
      </x:c>
      <x:c r="E108" s="17" t="str">
        <x:v>Medium</x:v>
      </x:c>
      <x:c r="F108" s="17" t="str">
        <x:v>Directed</x:v>
      </x:c>
      <x:c r="G108" s="17"/>
      <x:c r="H108" s="23" t="inlineStr">
        <x:is>
          <x:t>Pass</x:t>
        </x:is>
      </x:c>
      <x:c r="I108" s="23" t="str">
        <x:v>M3</x:v>
      </x:c>
      <x:c r="J108" s="17" t="inlineStr">
        <x:is>
          <x:t>Spec §1.6.2 + §2.2.1/2.2.4; programmed baud = 100MHz/(54×16). EPS immaterial if PEN=0.
Validation 2026-10-24: PASS, Questa2021.2_1 seed1; completed scenario checks and required scoreboard comparisons.</x:t>
        </x:is>
      </x:c>
    </x:row>
    <x:row r="109" ht="210" customHeight="1">
      <x:c r="A109" s="22" t="str">
        <x:v>5.28</x:v>
      </x:c>
      <x:c r="B109" s="17" t="str">
        <x:v>RX 7N2 / 13×</x:v>
      </x:c>
      <x:c r="C109" s="17" t="inlineStr">
        <x:is>
          <x:t>Objective: Verify RX frame with 7-bit none parity, 2 stop bit(s) and 13× sampling.
Setup: Reset; HCLK=100MHz; MDR=0x01, DLL=0x43, DLH=0; LCR=0x26; baud ≈114810.6 bps.
Stimulus: UART VIP drives 0x26 (masked from 0xA6) into uart_rxd; wait RX ready; read RBR 0x01C.
Expected: RX captures one 7N2 frame; RBR[WLS-1:0]=0x26; unused upper bits are not specified; no parity-error status for a valid frame.
Checker / PASS: UART request monitor/driver expected queue vs completed AHB RBR read; compare only active WLS bits and FIFO/event ordering; require one comparison.
Coverage: RX × WLS7 × NONE × STB2 × OSM13.</x:t>
        </x:is>
      </x:c>
      <x:c r="D109" s="17" t="str">
        <x:v>uart_rx_w7_none_s2_osm13_test</x:v>
      </x:c>
      <x:c r="E109" s="17" t="str">
        <x:v>Medium</x:v>
      </x:c>
      <x:c r="F109" s="17" t="str">
        <x:v>Directed</x:v>
      </x:c>
      <x:c r="G109" s="17"/>
      <x:c r="H109" s="23" t="inlineStr">
        <x:is>
          <x:t>Pass</x:t>
        </x:is>
      </x:c>
      <x:c r="I109" s="23" t="str">
        <x:v>M3</x:v>
      </x:c>
      <x:c r="J109" s="17" t="inlineStr">
        <x:is>
          <x:t>Spec §1.6.2 + §2.2.1/2.2.4; programmed baud = 100MHz/(67×13). EPS immaterial if PEN=0.
Validation 2026-10-24: PASS, Questa2021.2_1 seed1; completed scenario checks and required scoreboard comparisons.</x:t>
        </x:is>
      </x:c>
    </x:row>
    <x:row r="110" ht="210" customHeight="1">
      <x:c r="A110" s="22" t="str">
        <x:v>5.29</x:v>
      </x:c>
      <x:c r="B110" s="17" t="str">
        <x:v>RX 7E1 / 16×</x:v>
      </x:c>
      <x:c r="C110" s="17" t="inlineStr">
        <x:is>
          <x:t>Objective: Verify RX frame with 7-bit even parity, 1 stop bit(s) and 16× sampling.
Setup: Reset; HCLK=100MHz; MDR=0x00, DLL=0x36, DLH=0; LCR=0x3A; baud ≈115740.7 bps.
Stimulus: UART VIP drives 0x26 (masked from 0xA6) into uart_rxd; wait RX ready; read RBR 0x01C.
Expected: RX captures one 7E1 frame; RBR[WLS-1:0]=0x26; unused upper bits are not specified; no parity-error status for a valid frame.
Checker / PASS: UART request monitor/driver expected queue vs completed AHB RBR read; compare only active WLS bits and FIFO/event ordering; require one comparison.
Coverage: RX × WLS7 × EVEN × STB1 × OSM16.</x:t>
        </x:is>
      </x:c>
      <x:c r="D110" s="17" t="str">
        <x:v>uart_rx_w7_even_s1_osm16_test</x:v>
      </x:c>
      <x:c r="E110" s="17" t="str">
        <x:v>Medium</x:v>
      </x:c>
      <x:c r="F110" s="17" t="str">
        <x:v>Directed</x:v>
      </x:c>
      <x:c r="G110" s="17"/>
      <x:c r="H110" s="23" t="inlineStr">
        <x:is>
          <x:t>Pass</x:t>
        </x:is>
      </x:c>
      <x:c r="I110" s="23" t="str">
        <x:v>M3</x:v>
      </x:c>
      <x:c r="J110" s="17" t="inlineStr">
        <x:is>
          <x:t>Spec §1.6.2 + §2.2.1/2.2.4; programmed baud = 100MHz/(54×16). EPS immaterial if PEN=0.
Validation 2026-10-24: PASS, Questa2021.2_1 seed1; completed scenario checks and required scoreboard comparisons.</x:t>
        </x:is>
      </x:c>
    </x:row>
    <x:row r="111" ht="210" customHeight="1">
      <x:c r="A111" s="22" t="str">
        <x:v>5.30</x:v>
      </x:c>
      <x:c r="B111" s="17" t="str">
        <x:v>RX 7E1 / 13×</x:v>
      </x:c>
      <x:c r="C111" s="17" t="inlineStr">
        <x:is>
          <x:t>Objective: Verify RX frame with 7-bit even parity, 1 stop bit(s) and 13× sampling.
Setup: Reset; HCLK=100MHz; MDR=0x01, DLL=0x43, DLH=0; LCR=0x3A; baud ≈114810.6 bps.
Stimulus: UART VIP drives 0x26 (masked from 0xA6) into uart_rxd; wait RX ready; read RBR 0x01C.
Expected: RX captures one 7E1 frame; RBR[WLS-1:0]=0x26; unused upper bits are not specified; no parity-error status for a valid frame.
Checker / PASS: UART request monitor/driver expected queue vs completed AHB RBR read; compare only active WLS bits and FIFO/event ordering; require one comparison.
Coverage: RX × WLS7 × EVEN × STB1 × OSM13.</x:t>
        </x:is>
      </x:c>
      <x:c r="D111" s="17" t="str">
        <x:v>uart_rx_w7_even_s1_osm13_test</x:v>
      </x:c>
      <x:c r="E111" s="17" t="str">
        <x:v>Medium</x:v>
      </x:c>
      <x:c r="F111" s="17" t="str">
        <x:v>Directed</x:v>
      </x:c>
      <x:c r="G111" s="17"/>
      <x:c r="H111" s="23" t="inlineStr">
        <x:is>
          <x:t>Pass</x:t>
        </x:is>
      </x:c>
      <x:c r="I111" s="23" t="str">
        <x:v>M3</x:v>
      </x:c>
      <x:c r="J111" s="17" t="inlineStr">
        <x:is>
          <x:t>Spec §1.6.2 + §2.2.1/2.2.4; programmed baud = 100MHz/(67×13). EPS immaterial if PEN=0.
Validation 2026-10-24: PASS, Questa2021.2_1 seed1; completed scenario checks and required scoreboard comparisons.</x:t>
        </x:is>
      </x:c>
    </x:row>
    <x:row r="112" ht="210" customHeight="1">
      <x:c r="A112" s="22" t="str">
        <x:v>5.31</x:v>
      </x:c>
      <x:c r="B112" s="17" t="str">
        <x:v>RX 7E2 / 16×</x:v>
      </x:c>
      <x:c r="C112" s="17" t="inlineStr">
        <x:is>
          <x:t>Objective: Verify RX frame with 7-bit even parity, 2 stop bit(s) and 16× sampling.
Setup: Reset; HCLK=100MHz; MDR=0x00, DLL=0x36, DLH=0; LCR=0x3E; baud ≈115740.7 bps.
Stimulus: UART VIP drives 0x26 (masked from 0xA6) into uart_rxd; wait RX ready; read RBR 0x01C.
Expected: RX captures one 7E2 frame; RBR[WLS-1:0]=0x26; unused upper bits are not specified; no parity-error status for a valid frame.
Checker / PASS: UART request monitor/driver expected queue vs completed AHB RBR read; compare only active WLS bits and FIFO/event ordering; require one comparison.
Coverage: RX × WLS7 × EVEN × STB2 × OSM16.</x:t>
        </x:is>
      </x:c>
      <x:c r="D112" s="17" t="str">
        <x:v>uart_rx_w7_even_s2_osm16_test</x:v>
      </x:c>
      <x:c r="E112" s="17" t="str">
        <x:v>Medium</x:v>
      </x:c>
      <x:c r="F112" s="17" t="str">
        <x:v>Directed</x:v>
      </x:c>
      <x:c r="G112" s="17"/>
      <x:c r="H112" s="23" t="inlineStr">
        <x:is>
          <x:t>Pass</x:t>
        </x:is>
      </x:c>
      <x:c r="I112" s="23" t="str">
        <x:v>M3</x:v>
      </x:c>
      <x:c r="J112" s="17" t="inlineStr">
        <x:is>
          <x:t>Spec §1.6.2 + §2.2.1/2.2.4; programmed baud = 100MHz/(54×16). EPS immaterial if PEN=0.
Validation 2026-10-24: PASS, Questa2021.2_1 seed1; completed scenario checks and required scoreboard comparisons.</x:t>
        </x:is>
      </x:c>
    </x:row>
    <x:row r="113" ht="210" customHeight="1">
      <x:c r="A113" s="22" t="str">
        <x:v>5.32</x:v>
      </x:c>
      <x:c r="B113" s="17" t="str">
        <x:v>RX 7E2 / 13×</x:v>
      </x:c>
      <x:c r="C113" s="17" t="inlineStr">
        <x:is>
          <x:t>Objective: Verify RX frame with 7-bit even parity, 2 stop bit(s) and 13× sampling.
Setup: Reset; HCLK=100MHz; MDR=0x01, DLL=0x43, DLH=0; LCR=0x3E; baud ≈114810.6 bps.
Stimulus: UART VIP drives 0x26 (masked from 0xA6) into uart_rxd; wait RX ready; read RBR 0x01C.
Expected: RX captures one 7E2 frame; RBR[WLS-1:0]=0x26; unused upper bits are not specified; no parity-error status for a valid frame.
Checker / PASS: UART request monitor/driver expected queue vs completed AHB RBR read; compare only active WLS bits and FIFO/event ordering; require one comparison.
Coverage: RX × WLS7 × EVEN × STB2 × OSM13.</x:t>
        </x:is>
      </x:c>
      <x:c r="D113" s="17" t="str">
        <x:v>uart_rx_w7_even_s2_osm13_test</x:v>
      </x:c>
      <x:c r="E113" s="17" t="str">
        <x:v>Medium</x:v>
      </x:c>
      <x:c r="F113" s="17" t="str">
        <x:v>Directed</x:v>
      </x:c>
      <x:c r="G113" s="17"/>
      <x:c r="H113" s="23" t="inlineStr">
        <x:is>
          <x:t>Pass</x:t>
        </x:is>
      </x:c>
      <x:c r="I113" s="23" t="str">
        <x:v>M3</x:v>
      </x:c>
      <x:c r="J113" s="17" t="inlineStr">
        <x:is>
          <x:t>Spec §1.6.2 + §2.2.1/2.2.4; programmed baud = 100MHz/(67×13). EPS immaterial if PEN=0.
Validation 2026-10-24: PASS, Questa2021.2_1 seed1; completed scenario checks and required scoreboard comparisons.</x:t>
        </x:is>
      </x:c>
    </x:row>
    <x:row r="114" ht="210" customHeight="1">
      <x:c r="A114" s="22" t="str">
        <x:v>5.33</x:v>
      </x:c>
      <x:c r="B114" s="17" t="str">
        <x:v>RX 7O1 / 16×</x:v>
      </x:c>
      <x:c r="C114" s="17" t="inlineStr">
        <x:is>
          <x:t>Objective: Verify RX frame with 7-bit odd parity, 1 stop bit(s) and 16× sampling.
Setup: Reset; HCLK=100MHz; MDR=0x00, DLL=0x36, DLH=0; LCR=0x2A; baud ≈115740.7 bps.
Stimulus: UART VIP drives 0x26 (masked from 0xA6) into uart_rxd; wait RX ready; read RBR 0x01C.
Expected: RX captures one 7O1 frame; RBR[WLS-1:0]=0x26; unused upper bits are not specified; no parity-error status for a valid frame.
Checker / PASS: UART request monitor/driver expected queue vs completed AHB RBR read; compare only active WLS bits and FIFO/event ordering; require one comparison.
Coverage: RX × WLS7 × ODD × STB1 × OSM16.</x:t>
        </x:is>
      </x:c>
      <x:c r="D114" s="17" t="str">
        <x:v>uart_rx_w7_odd_s1_osm16_test</x:v>
      </x:c>
      <x:c r="E114" s="17" t="str">
        <x:v>Medium</x:v>
      </x:c>
      <x:c r="F114" s="17" t="str">
        <x:v>Directed</x:v>
      </x:c>
      <x:c r="G114" s="17"/>
      <x:c r="H114" s="23" t="inlineStr">
        <x:is>
          <x:t>Pass</x:t>
        </x:is>
      </x:c>
      <x:c r="I114" s="23" t="str">
        <x:v>M3</x:v>
      </x:c>
      <x:c r="J114" s="17" t="inlineStr">
        <x:is>
          <x:t>Spec §1.6.2 + §2.2.1/2.2.4; programmed baud = 100MHz/(54×16). EPS immaterial if PEN=0.
Validation 2026-10-24: PASS, Questa2021.2_1 seed1; completed scenario checks and required scoreboard comparisons.</x:t>
        </x:is>
      </x:c>
    </x:row>
    <x:row r="115" ht="210" customHeight="1">
      <x:c r="A115" s="22" t="str">
        <x:v>5.34</x:v>
      </x:c>
      <x:c r="B115" s="17" t="str">
        <x:v>RX 7O1 / 13×</x:v>
      </x:c>
      <x:c r="C115" s="17" t="inlineStr">
        <x:is>
          <x:t>Objective: Verify RX frame with 7-bit odd parity, 1 stop bit(s) and 13× sampling.
Setup: Reset; HCLK=100MHz; MDR=0x01, DLL=0x43, DLH=0; LCR=0x2A; baud ≈114810.6 bps.
Stimulus: UART VIP drives 0x26 (masked from 0xA6) into uart_rxd; wait RX ready; read RBR 0x01C.
Expected: RX captures one 7O1 frame; RBR[WLS-1:0]=0x26; unused upper bits are not specified; no parity-error status for a valid frame.
Checker / PASS: UART request monitor/driver expected queue vs completed AHB RBR read; compare only active WLS bits and FIFO/event ordering; require one comparison.
Coverage: RX × WLS7 × ODD × STB1 × OSM13.</x:t>
        </x:is>
      </x:c>
      <x:c r="D115" s="17" t="str">
        <x:v>uart_rx_w7_odd_s1_osm13_test</x:v>
      </x:c>
      <x:c r="E115" s="17" t="str">
        <x:v>Medium</x:v>
      </x:c>
      <x:c r="F115" s="17" t="str">
        <x:v>Directed</x:v>
      </x:c>
      <x:c r="G115" s="17"/>
      <x:c r="H115" s="23" t="inlineStr">
        <x:is>
          <x:t xml:space="preserve">Pass</x:t>
        </x:is>
      </x:c>
      <x:c r="I115" s="23" t="str">
        <x:v>M3</x:v>
      </x:c>
      <x:c r="J115" s="17" t="inlineStr">
        <x:is>
          <x:t xml:space="preserve">Spec §1.6.2 + §2.2.1/2.2.4; programmed baud = 100MHz/(67×13). EPS immaterial if PEN=0.
Validation 2026-10-24: PASS, Questa2021.2_1 seed1; completed scenario checks and required scoreboard comparisons.
VIP timing recheck 2026-10-24: PASS after simultaneous TX/RX thread isolation and absolute frame-end deadline fixes; Questa2021.2_1 seed1. No error catcher attached to DUT environment.</x:t>
        </x:is>
      </x:c>
    </x:row>
    <x:row r="116" ht="210" customHeight="1">
      <x:c r="A116" s="22" t="str">
        <x:v>5.35</x:v>
      </x:c>
      <x:c r="B116" s="17" t="str">
        <x:v>RX 7O2 / 16×</x:v>
      </x:c>
      <x:c r="C116" s="17" t="inlineStr">
        <x:is>
          <x:t>Objective: Verify RX frame with 7-bit odd parity, 2 stop bit(s) and 16× sampling.
Setup: Reset; HCLK=100MHz; MDR=0x00, DLL=0x36, DLH=0; LCR=0x2E; baud ≈115740.7 bps.
Stimulus: UART VIP drives 0x26 (masked from 0xA6) into uart_rxd; wait RX ready; read RBR 0x01C.
Expected: RX captures one 7O2 frame; RBR[WLS-1:0]=0x26; unused upper bits are not specified; no parity-error status for a valid frame.
Checker / PASS: UART request monitor/driver expected queue vs completed AHB RBR read; compare only active WLS bits and FIFO/event ordering; require one comparison.
Coverage: RX × WLS7 × ODD × STB2 × OSM16.</x:t>
        </x:is>
      </x:c>
      <x:c r="D116" s="17" t="str">
        <x:v>uart_rx_w7_odd_s2_osm16_test</x:v>
      </x:c>
      <x:c r="E116" s="17" t="str">
        <x:v>Medium</x:v>
      </x:c>
      <x:c r="F116" s="17" t="str">
        <x:v>Directed</x:v>
      </x:c>
      <x:c r="G116" s="17"/>
      <x:c r="H116" s="23" t="inlineStr">
        <x:is>
          <x:t>Pass</x:t>
        </x:is>
      </x:c>
      <x:c r="I116" s="23" t="str">
        <x:v>M3</x:v>
      </x:c>
      <x:c r="J116" s="17" t="inlineStr">
        <x:is>
          <x:t>Spec §1.6.2 + §2.2.1/2.2.4; programmed baud = 100MHz/(54×16). EPS immaterial if PEN=0.
Validation 2026-10-24: PASS, Questa2021.2_1 seed1; completed scenario checks and required scoreboard comparisons.</x:t>
        </x:is>
      </x:c>
    </x:row>
    <x:row r="117" ht="210" customHeight="1">
      <x:c r="A117" s="22" t="str">
        <x:v>5.36</x:v>
      </x:c>
      <x:c r="B117" s="17" t="str">
        <x:v>RX 7O2 / 13×</x:v>
      </x:c>
      <x:c r="C117" s="17" t="inlineStr">
        <x:is>
          <x:t>Objective: Verify RX frame with 7-bit odd parity, 2 stop bit(s) and 13× sampling.
Setup: Reset; HCLK=100MHz; MDR=0x01, DLL=0x43, DLH=0; LCR=0x2E; baud ≈114810.6 bps.
Stimulus: UART VIP drives 0x26 (masked from 0xA6) into uart_rxd; wait RX ready; read RBR 0x01C.
Expected: RX captures one 7O2 frame; RBR[WLS-1:0]=0x26; unused upper bits are not specified; no parity-error status for a valid frame.
Checker / PASS: UART request monitor/driver expected queue vs completed AHB RBR read; compare only active WLS bits and FIFO/event ordering; require one comparison.
Coverage: RX × WLS7 × ODD × STB2 × OSM13.</x:t>
        </x:is>
      </x:c>
      <x:c r="D117" s="17" t="str">
        <x:v>uart_rx_w7_odd_s2_osm13_test</x:v>
      </x:c>
      <x:c r="E117" s="17" t="str">
        <x:v>Medium</x:v>
      </x:c>
      <x:c r="F117" s="17" t="str">
        <x:v>Directed</x:v>
      </x:c>
      <x:c r="G117" s="17"/>
      <x:c r="H117" s="23" t="inlineStr">
        <x:is>
          <x:t>Pass</x:t>
        </x:is>
      </x:c>
      <x:c r="I117" s="23" t="str">
        <x:v>M3</x:v>
      </x:c>
      <x:c r="J117" s="17" t="inlineStr">
        <x:is>
          <x:t>Spec §1.6.2 + §2.2.1/2.2.4; programmed baud = 100MHz/(67×13). EPS immaterial if PEN=0.
Validation 2026-10-24: PASS, Questa2021.2_1 seed1; completed scenario checks and required scoreboard comparisons.</x:t>
        </x:is>
      </x:c>
    </x:row>
    <x:row r="118" ht="210" customHeight="1">
      <x:c r="A118" s="22" t="str">
        <x:v>5.37</x:v>
      </x:c>
      <x:c r="B118" s="17" t="str">
        <x:v>RX 8N1 / 16×</x:v>
      </x:c>
      <x:c r="C118" s="17" t="str">
        <x:v>Objective: Verify RX frame with 8-bit none parity, 1 stop bit(s) and 16× sampling.
Setup: Reset; HCLK=100MHz; MDR=0x00, DLL=0x36, DLH=0; LCR=0x23; baud ≈115740.7 bps.
Stimulus: UART VIP drives 0xA6 (masked from 0xA6) into uart_rxd; wait RX ready; read RBR 0x01C.
Expected: RX captures one 8N1 frame; RBR[7:0]=0xA6; no parity-error status for a valid frame.
Checker / PASS: UART request monitor/driver expected queue vs completed AHB RBR read; check masked byte and FIFO/event ordering; require one comparison.
Coverage: RX × WLS8 × NONE × STB1 × OSM16.</x:v>
      </x:c>
      <x:c r="D118" s="17" t="str">
        <x:v>uart_rx_w8_none_s1_osm16_test</x:v>
      </x:c>
      <x:c r="E118" s="17" t="str">
        <x:v>High</x:v>
      </x:c>
      <x:c r="F118" s="17" t="str">
        <x:v>Directed</x:v>
      </x:c>
      <x:c r="G118" s="17"/>
      <x:c r="H118" s="23" t="inlineStr">
        <x:is>
          <x:t>Pass</x:t>
        </x:is>
      </x:c>
      <x:c r="I118" s="23" t="str">
        <x:v>M3</x:v>
      </x:c>
      <x:c r="J118" s="17" t="inlineStr">
        <x:is>
          <x:t>Spec §1.6.2 + §2.2.1/2.2.4; programmed baud = 100MHz/(54×16). EPS immaterial if PEN=0.
Validation 2026-10-24: PASS, Questa2021.2_1 seed1; completed scenario checks and required scoreboard comparisons.</x:t>
        </x:is>
      </x:c>
    </x:row>
    <x:row r="119" ht="210" customHeight="1">
      <x:c r="A119" s="22" t="str">
        <x:v>5.38</x:v>
      </x:c>
      <x:c r="B119" s="17" t="str">
        <x:v>RX 8N1 / 13×</x:v>
      </x:c>
      <x:c r="C119" s="17" t="str">
        <x:v>Objective: Verify RX frame with 8-bit none parity, 1 stop bit(s) and 13× sampling.
Setup: Reset; HCLK=100MHz; MDR=0x01, DLL=0x43, DLH=0; LCR=0x23; baud ≈114810.6 bps.
Stimulus: UART VIP drives 0xA6 (masked from 0xA6) into uart_rxd; wait RX ready; read RBR 0x01C.
Expected: RX captures one 8N1 frame; RBR[7:0]=0xA6; no parity-error status for a valid frame.
Checker / PASS: UART request monitor/driver expected queue vs completed AHB RBR read; check masked byte and FIFO/event ordering; require one comparison.
Coverage: RX × WLS8 × NONE × STB1 × OSM13.</x:v>
      </x:c>
      <x:c r="D119" s="17" t="str">
        <x:v>uart_rx_w8_none_s1_osm13_test</x:v>
      </x:c>
      <x:c r="E119" s="17" t="str">
        <x:v>High</x:v>
      </x:c>
      <x:c r="F119" s="17" t="str">
        <x:v>Directed</x:v>
      </x:c>
      <x:c r="G119" s="17"/>
      <x:c r="H119" s="23" t="inlineStr">
        <x:is>
          <x:t>Pass</x:t>
        </x:is>
      </x:c>
      <x:c r="I119" s="23" t="str">
        <x:v>M3</x:v>
      </x:c>
      <x:c r="J119" s="17" t="inlineStr">
        <x:is>
          <x:t>Spec §1.6.2 + §2.2.1/2.2.4; programmed baud = 100MHz/(67×13). EPS immaterial if PEN=0.
Validation 2026-10-24: PASS, Questa2021.2_1 seed1; completed scenario checks and required scoreboard comparisons.</x:t>
        </x:is>
      </x:c>
    </x:row>
    <x:row r="120" ht="210" customHeight="1">
      <x:c r="A120" s="22" t="str">
        <x:v>5.39</x:v>
      </x:c>
      <x:c r="B120" s="17" t="str">
        <x:v>RX 8N2 / 16×</x:v>
      </x:c>
      <x:c r="C120" s="17" t="str">
        <x:v>Objective: Verify RX frame with 8-bit none parity, 2 stop bit(s) and 16× sampling.
Setup: Reset; HCLK=100MHz; MDR=0x00, DLL=0x36, DLH=0; LCR=0x27; baud ≈115740.7 bps.
Stimulus: UART VIP drives 0xA6 (masked from 0xA6) into uart_rxd; wait RX ready; read RBR 0x01C.
Expected: RX captures one 8N2 frame; RBR[7:0]=0xA6; no parity-error status for a valid frame.
Checker / PASS: UART request monitor/driver expected queue vs completed AHB RBR read; check masked byte and FIFO/event ordering; require one comparison.
Coverage: RX × WLS8 × NONE × STB2 × OSM16.</x:v>
      </x:c>
      <x:c r="D120" s="17" t="str">
        <x:v>uart_rx_w8_none_s2_osm16_test</x:v>
      </x:c>
      <x:c r="E120" s="17" t="str">
        <x:v>Medium</x:v>
      </x:c>
      <x:c r="F120" s="17" t="str">
        <x:v>Directed</x:v>
      </x:c>
      <x:c r="G120" s="17"/>
      <x:c r="H120" s="23" t="inlineStr">
        <x:is>
          <x:t>Pass</x:t>
        </x:is>
      </x:c>
      <x:c r="I120" s="23" t="str">
        <x:v>M3</x:v>
      </x:c>
      <x:c r="J120" s="17" t="inlineStr">
        <x:is>
          <x:t>Spec §1.6.2 + §2.2.1/2.2.4; programmed baud = 100MHz/(54×16). EPS immaterial if PEN=0.
Validation 2026-10-24: PASS, Questa2021.2_1 seed1; completed scenario checks and required scoreboard comparisons.</x:t>
        </x:is>
      </x:c>
    </x:row>
    <x:row r="121" ht="210" customHeight="1">
      <x:c r="A121" s="22" t="str">
        <x:v>5.40</x:v>
      </x:c>
      <x:c r="B121" s="17" t="str">
        <x:v>RX 8N2 / 13×</x:v>
      </x:c>
      <x:c r="C121" s="17" t="str">
        <x:v>Objective: Verify RX frame with 8-bit none parity, 2 stop bit(s) and 13× sampling.
Setup: Reset; HCLK=100MHz; MDR=0x01, DLL=0x43, DLH=0; LCR=0x27; baud ≈114810.6 bps.
Stimulus: UART VIP drives 0xA6 (masked from 0xA6) into uart_rxd; wait RX ready; read RBR 0x01C.
Expected: RX captures one 8N2 frame; RBR[7:0]=0xA6; no parity-error status for a valid frame.
Checker / PASS: UART request monitor/driver expected queue vs completed AHB RBR read; check masked byte and FIFO/event ordering; require one comparison.
Coverage: RX × WLS8 × NONE × STB2 × OSM13.</x:v>
      </x:c>
      <x:c r="D121" s="17" t="str">
        <x:v>uart_rx_w8_none_s2_osm13_test</x:v>
      </x:c>
      <x:c r="E121" s="17" t="str">
        <x:v>Medium</x:v>
      </x:c>
      <x:c r="F121" s="17" t="str">
        <x:v>Directed</x:v>
      </x:c>
      <x:c r="G121" s="17"/>
      <x:c r="H121" s="23" t="inlineStr">
        <x:is>
          <x:t>Pass</x:t>
        </x:is>
      </x:c>
      <x:c r="I121" s="23" t="str">
        <x:v>M3</x:v>
      </x:c>
      <x:c r="J121" s="17" t="inlineStr">
        <x:is>
          <x:t>Spec §1.6.2 + §2.2.1/2.2.4; programmed baud = 100MHz/(67×13). EPS immaterial if PEN=0.
Validation 2026-10-24: PASS, Questa2021.2_1 seed1; completed scenario checks and required scoreboard comparisons.</x:t>
        </x:is>
      </x:c>
    </x:row>
    <x:row r="122" ht="210" customHeight="1">
      <x:c r="A122" s="22" t="str">
        <x:v>5.41</x:v>
      </x:c>
      <x:c r="B122" s="17" t="str">
        <x:v>RX 8E1 / 16×</x:v>
      </x:c>
      <x:c r="C122" s="17" t="str">
        <x:v>Objective: Verify RX frame with 8-bit even parity, 1 stop bit(s) and 16× sampling.
Setup: Reset; HCLK=100MHz; MDR=0x00, DLL=0x36, DLH=0; LCR=0x3B; baud ≈115740.7 bps.
Stimulus: UART VIP drives 0xA6 (masked from 0xA6) into uart_rxd; wait RX ready; read RBR 0x01C.
Expected: RX captures one 8E1 frame; RBR[7:0]=0xA6; no parity-error status for a valid frame.
Checker / PASS: UART request monitor/driver expected queue vs completed AHB RBR read; check masked byte and FIFO/event ordering; require one comparison.
Coverage: RX × WLS8 × EVEN × STB1 × OSM16.</x:v>
      </x:c>
      <x:c r="D122" s="17" t="str">
        <x:v>uart_rx_w8_even_s1_osm16_test</x:v>
      </x:c>
      <x:c r="E122" s="17" t="str">
        <x:v>Medium</x:v>
      </x:c>
      <x:c r="F122" s="17" t="str">
        <x:v>Directed</x:v>
      </x:c>
      <x:c r="G122" s="17"/>
      <x:c r="H122" s="23" t="inlineStr">
        <x:is>
          <x:t>Pass</x:t>
        </x:is>
      </x:c>
      <x:c r="I122" s="23" t="str">
        <x:v>M3</x:v>
      </x:c>
      <x:c r="J122" s="17" t="inlineStr">
        <x:is>
          <x:t>Spec §1.6.2 + §2.2.1/2.2.4; programmed baud = 100MHz/(54×16). EPS immaterial if PEN=0.
Validation 2026-10-24: PASS, Questa2021.2_1 seed1; completed scenario checks and required scoreboard comparisons.</x:t>
        </x:is>
      </x:c>
    </x:row>
    <x:row r="123" ht="210" customHeight="1">
      <x:c r="A123" s="22" t="str">
        <x:v>5.42</x:v>
      </x:c>
      <x:c r="B123" s="17" t="str">
        <x:v>RX 8E1 / 13×</x:v>
      </x:c>
      <x:c r="C123" s="17" t="str">
        <x:v>Objective: Verify RX frame with 8-bit even parity, 1 stop bit(s) and 13× sampling.
Setup: Reset; HCLK=100MHz; MDR=0x01, DLL=0x43, DLH=0; LCR=0x3B; baud ≈114810.6 bps.
Stimulus: UART VIP drives 0xA6 (masked from 0xA6) into uart_rxd; wait RX ready; read RBR 0x01C.
Expected: RX captures one 8E1 frame; RBR[7:0]=0xA6; no parity-error status for a valid frame.
Checker / PASS: UART request monitor/driver expected queue vs completed AHB RBR read; check masked byte and FIFO/event ordering; require one comparison.
Coverage: RX × WLS8 × EVEN × STB1 × OSM13.</x:v>
      </x:c>
      <x:c r="D123" s="17" t="str">
        <x:v>uart_rx_w8_even_s1_osm13_test</x:v>
      </x:c>
      <x:c r="E123" s="17" t="str">
        <x:v>Medium</x:v>
      </x:c>
      <x:c r="F123" s="17" t="str">
        <x:v>Directed</x:v>
      </x:c>
      <x:c r="G123" s="17"/>
      <x:c r="H123" s="23" t="inlineStr">
        <x:is>
          <x:t>Pass</x:t>
        </x:is>
      </x:c>
      <x:c r="I123" s="23" t="str">
        <x:v>M3</x:v>
      </x:c>
      <x:c r="J123" s="17" t="inlineStr">
        <x:is>
          <x:t>Spec §1.6.2 + §2.2.1/2.2.4; programmed baud = 100MHz/(67×13). EPS immaterial if PEN=0.
Validation 2026-10-24: PASS, Questa2021.2_1 seed1; completed scenario checks and required scoreboard comparisons.</x:t>
        </x:is>
      </x:c>
    </x:row>
    <x:row r="124" ht="210" customHeight="1">
      <x:c r="A124" s="22" t="str">
        <x:v>5.43</x:v>
      </x:c>
      <x:c r="B124" s="17" t="str">
        <x:v>RX 8E2 / 16×</x:v>
      </x:c>
      <x:c r="C124" s="17" t="str">
        <x:v>Objective: Verify RX frame with 8-bit even parity, 2 stop bit(s) and 16× sampling.
Setup: Reset; HCLK=100MHz; MDR=0x00, DLL=0x36, DLH=0; LCR=0x3F; baud ≈115740.7 bps.
Stimulus: UART VIP drives 0xA6 (masked from 0xA6) into uart_rxd; wait RX ready; read RBR 0x01C.
Expected: RX captures one 8E2 frame; RBR[7:0]=0xA6; no parity-error status for a valid frame.
Checker / PASS: UART request monitor/driver expected queue vs completed AHB RBR read; check masked byte and FIFO/event ordering; require one comparison.
Coverage: RX × WLS8 × EVEN × STB2 × OSM16.</x:v>
      </x:c>
      <x:c r="D124" s="17" t="str">
        <x:v>uart_rx_w8_even_s2_osm16_test</x:v>
      </x:c>
      <x:c r="E124" s="17" t="str">
        <x:v>Medium</x:v>
      </x:c>
      <x:c r="F124" s="17" t="str">
        <x:v>Directed</x:v>
      </x:c>
      <x:c r="G124" s="17"/>
      <x:c r="H124" s="23" t="inlineStr">
        <x:is>
          <x:t xml:space="preserve">Pass</x:t>
        </x:is>
      </x:c>
      <x:c r="I124" s="23" t="str">
        <x:v>M3</x:v>
      </x:c>
      <x:c r="J124" s="17" t="inlineStr">
        <x:is>
          <x:t xml:space="preserve">Spec §1.6.2 + §2.2.1/2.2.4; programmed baud = 100MHz/(54×16). EPS immaterial if PEN=0.
Validation 2026-10-24: PASS, Questa2021.2_1 seed1; completed scenario checks and required scoreboard comparisons.
VIP timing recheck 2026-10-24: PASS after simultaneous TX/RX thread isolation and absolute frame-end deadline fixes; Questa2021.2_1 seed1. No error catcher attached to DUT environment.</x:t>
        </x:is>
      </x:c>
    </x:row>
    <x:row r="125" ht="210" customHeight="1">
      <x:c r="A125" s="22" t="str">
        <x:v>5.44</x:v>
      </x:c>
      <x:c r="B125" s="17" t="str">
        <x:v>RX 8E2 / 13×</x:v>
      </x:c>
      <x:c r="C125" s="17" t="str">
        <x:v>Objective: Verify RX frame with 8-bit even parity, 2 stop bit(s) and 13× sampling.
Setup: Reset; HCLK=100MHz; MDR=0x01, DLL=0x43, DLH=0; LCR=0x3F; baud ≈114810.6 bps.
Stimulus: UART VIP drives 0xA6 (masked from 0xA6) into uart_rxd; wait RX ready; read RBR 0x01C.
Expected: RX captures one 8E2 frame; RBR[7:0]=0xA6; no parity-error status for a valid frame.
Checker / PASS: UART request monitor/driver expected queue vs completed AHB RBR read; check masked byte and FIFO/event ordering; require one comparison.
Coverage: RX × WLS8 × EVEN × STB2 × OSM13.</x:v>
      </x:c>
      <x:c r="D125" s="17" t="str">
        <x:v>uart_rx_w8_even_s2_osm13_test</x:v>
      </x:c>
      <x:c r="E125" s="17" t="str">
        <x:v>Medium</x:v>
      </x:c>
      <x:c r="F125" s="17" t="str">
        <x:v>Directed</x:v>
      </x:c>
      <x:c r="G125" s="17"/>
      <x:c r="H125" s="23" t="inlineStr">
        <x:is>
          <x:t>Pass</x:t>
        </x:is>
      </x:c>
      <x:c r="I125" s="23" t="str">
        <x:v>M3</x:v>
      </x:c>
      <x:c r="J125" s="17" t="inlineStr">
        <x:is>
          <x:t>Spec §1.6.2 + §2.2.1/2.2.4; programmed baud = 100MHz/(67×13). EPS immaterial if PEN=0.
Validation 2026-10-24: PASS, Questa2021.2_1 seed1; completed scenario checks and required scoreboard comparisons.</x:t>
        </x:is>
      </x:c>
    </x:row>
    <x:row r="126" ht="210" customHeight="1">
      <x:c r="A126" s="22" t="str">
        <x:v>5.45</x:v>
      </x:c>
      <x:c r="B126" s="17" t="str">
        <x:v>RX 8O1 / 16×</x:v>
      </x:c>
      <x:c r="C126" s="17" t="str">
        <x:v>Objective: Verify RX frame with 8-bit odd parity, 1 stop bit(s) and 16× sampling.
Setup: Reset; HCLK=100MHz; MDR=0x00, DLL=0x36, DLH=0; LCR=0x2B; baud ≈115740.7 bps.
Stimulus: UART VIP drives 0xA6 (masked from 0xA6) into uart_rxd; wait RX ready; read RBR 0x01C.
Expected: RX captures one 8O1 frame; RBR[7:0]=0xA6; no parity-error status for a valid frame.
Checker / PASS: UART request monitor/driver expected queue vs completed AHB RBR read; check masked byte and FIFO/event ordering; require one comparison.
Coverage: RX × WLS8 × ODD × STB1 × OSM16.</x:v>
      </x:c>
      <x:c r="D126" s="17" t="str">
        <x:v>uart_rx_w8_odd_s1_osm16_test</x:v>
      </x:c>
      <x:c r="E126" s="17" t="str">
        <x:v>Medium</x:v>
      </x:c>
      <x:c r="F126" s="17" t="str">
        <x:v>Directed</x:v>
      </x:c>
      <x:c r="G126" s="17"/>
      <x:c r="H126" s="23" t="inlineStr">
        <x:is>
          <x:t>Pass</x:t>
        </x:is>
      </x:c>
      <x:c r="I126" s="23" t="str">
        <x:v>M3</x:v>
      </x:c>
      <x:c r="J126" s="17" t="inlineStr">
        <x:is>
          <x:t>Spec §1.6.2 + §2.2.1/2.2.4; programmed baud = 100MHz/(54×16). EPS immaterial if PEN=0.
Validation 2026-10-24: PASS, Questa2021.2_1 seed1; completed scenario checks and required scoreboard comparisons.</x:t>
        </x:is>
      </x:c>
    </x:row>
    <x:row r="127" ht="210" customHeight="1">
      <x:c r="A127" s="22" t="str">
        <x:v>5.46</x:v>
      </x:c>
      <x:c r="B127" s="17" t="str">
        <x:v>RX 8O1 / 13×</x:v>
      </x:c>
      <x:c r="C127" s="17" t="str">
        <x:v>Objective: Verify RX frame with 8-bit odd parity, 1 stop bit(s) and 13× sampling.
Setup: Reset; HCLK=100MHz; MDR=0x01, DLL=0x43, DLH=0; LCR=0x2B; baud ≈114810.6 bps.
Stimulus: UART VIP drives 0xA6 (masked from 0xA6) into uart_rxd; wait RX ready; read RBR 0x01C.
Expected: RX captures one 8O1 frame; RBR[7:0]=0xA6; no parity-error status for a valid frame.
Checker / PASS: UART request monitor/driver expected queue vs completed AHB RBR read; check masked byte and FIFO/event ordering; require one comparison.
Coverage: RX × WLS8 × ODD × STB1 × OSM13.</x:v>
      </x:c>
      <x:c r="D127" s="17" t="str">
        <x:v>uart_rx_w8_odd_s1_osm13_test</x:v>
      </x:c>
      <x:c r="E127" s="17" t="str">
        <x:v>Medium</x:v>
      </x:c>
      <x:c r="F127" s="17" t="str">
        <x:v>Directed</x:v>
      </x:c>
      <x:c r="G127" s="17"/>
      <x:c r="H127" s="23" t="inlineStr">
        <x:is>
          <x:t>Pass</x:t>
        </x:is>
      </x:c>
      <x:c r="I127" s="23" t="str">
        <x:v>M3</x:v>
      </x:c>
      <x:c r="J127" s="17" t="inlineStr">
        <x:is>
          <x:t>Spec §1.6.2 + §2.2.1/2.2.4; programmed baud = 100MHz/(67×13). EPS immaterial if PEN=0.
Validation 2026-10-24: PASS, Questa2021.2_1 seed1; completed scenario checks and required scoreboard comparisons.</x:t>
        </x:is>
      </x:c>
    </x:row>
    <x:row r="128" ht="210" customHeight="1">
      <x:c r="A128" s="22" t="str">
        <x:v>5.47</x:v>
      </x:c>
      <x:c r="B128" s="17" t="str">
        <x:v>RX 8O2 / 16×</x:v>
      </x:c>
      <x:c r="C128" s="17" t="str">
        <x:v>Objective: Verify RX frame with 8-bit odd parity, 2 stop bit(s) and 16× sampling.
Setup: Reset; HCLK=100MHz; MDR=0x00, DLL=0x36, DLH=0; LCR=0x2F; baud ≈115740.7 bps.
Stimulus: UART VIP drives 0xA6 (masked from 0xA6) into uart_rxd; wait RX ready; read RBR 0x01C.
Expected: RX captures one 8O2 frame; RBR[7:0]=0xA6; no parity-error status for a valid frame.
Checker / PASS: UART request monitor/driver expected queue vs completed AHB RBR read; check masked byte and FIFO/event ordering; require one comparison.
Coverage: RX × WLS8 × ODD × STB2 × OSM16.</x:v>
      </x:c>
      <x:c r="D128" s="17" t="str">
        <x:v>uart_rx_w8_odd_s2_osm16_test</x:v>
      </x:c>
      <x:c r="E128" s="17" t="str">
        <x:v>Medium</x:v>
      </x:c>
      <x:c r="F128" s="17" t="str">
        <x:v>Directed</x:v>
      </x:c>
      <x:c r="G128" s="17"/>
      <x:c r="H128" s="23" t="inlineStr">
        <x:is>
          <x:t>Pass</x:t>
        </x:is>
      </x:c>
      <x:c r="I128" s="23" t="str">
        <x:v>M3</x:v>
      </x:c>
      <x:c r="J128" s="17" t="inlineStr">
        <x:is>
          <x:t>Spec §1.6.2 + §2.2.1/2.2.4; programmed baud = 100MHz/(54×16). EPS immaterial if PEN=0.
Validation 2026-10-24: PASS, Questa2021.2_1 seed1; completed scenario checks and required scoreboard comparisons.</x:t>
        </x:is>
      </x:c>
    </x:row>
    <x:row r="129" ht="210" customHeight="1">
      <x:c r="A129" s="22" t="str">
        <x:v>5.48</x:v>
      </x:c>
      <x:c r="B129" s="17" t="str">
        <x:v>RX 8O2 / 13×</x:v>
      </x:c>
      <x:c r="C129" s="17" t="str">
        <x:v>Objective: Verify RX frame with 8-bit odd parity, 2 stop bit(s) and 13× sampling.
Setup: Reset; HCLK=100MHz; MDR=0x01, DLL=0x43, DLH=0; LCR=0x2F; baud ≈114810.6 bps.
Stimulus: UART VIP drives 0xA6 (masked from 0xA6) into uart_rxd; wait RX ready; read RBR 0x01C.
Expected: RX captures one 8O2 frame; RBR[7:0]=0xA6; no parity-error status for a valid frame.
Checker / PASS: UART request monitor/driver expected queue vs completed AHB RBR read; check masked byte and FIFO/event ordering; require one comparison.
Coverage: RX × WLS8 × ODD × STB2 × OSM13.</x:v>
      </x:c>
      <x:c r="D129" s="17" t="str">
        <x:v>uart_rx_w8_odd_s2_osm13_test</x:v>
      </x:c>
      <x:c r="E129" s="17" t="str">
        <x:v>Medium</x:v>
      </x:c>
      <x:c r="F129" s="17" t="str">
        <x:v>Directed</x:v>
      </x:c>
      <x:c r="G129" s="17"/>
      <x:c r="H129" s="23" t="inlineStr">
        <x:is>
          <x:t>Pass</x:t>
        </x:is>
      </x:c>
      <x:c r="I129" s="23" t="str">
        <x:v>M3</x:v>
      </x:c>
      <x:c r="J129" s="17" t="inlineStr">
        <x:is>
          <x:t>Spec §1.6.2 + §2.2.1/2.2.4; programmed baud = 100MHz/(67×13). EPS immaterial if PEN=0.
Validation 2026-10-24: PASS, Questa2021.2_1 seed1; completed scenario checks and required scoreboard comparisons.</x:t>
        </x:is>
      </x:c>
    </x:row>
    <x:row r="130" ht="210" customHeight="1">
      <x:c r="A130" s="22" t="str">
        <x:v>5.49</x:v>
      </x:c>
      <x:c r="B130" s="17" t="str">
        <x:v>RX all-zero pattern</x:v>
      </x:c>
      <x:c r="C130" s="17" t="str">
        <x:v>Objective: Verify valid all-zero incoming byte reaches RBR accurately.
Setup: Reset, 8N1 16×, programmed baud; RX FIFO initially empty.
Stimulus: UART VIP drives 0x00; wait for receive completion and AHB read RBR.
Expected: RBR returns 0x00, RX status updates appropriately, no parity error.
Checker / PASS: UART driven-byte expected queue vs completed AHB RBR read.
Coverage: RX zero pattern.</x:v>
      </x:c>
      <x:c r="D130" s="17" t="str">
        <x:v>uart_rx_pattern_zero_test</x:v>
      </x:c>
      <x:c r="E130" s="17" t="str">
        <x:v>High</x:v>
      </x:c>
      <x:c r="F130" s="17" t="str">
        <x:v>Directed</x:v>
      </x:c>
      <x:c r="G130" s="17"/>
      <x:c r="H130" s="23" t="inlineStr">
        <x:is>
          <x:t>Pass</x:t>
        </x:is>
      </x:c>
      <x:c r="I130" s="23" t="str">
        <x:v>M3</x:v>
      </x:c>
      <x:c r="J130" s="17" t="inlineStr">
        <x:is>
          <x:t>Spec §1.6.2 + §1.7.2.
Validation 2026-10-24: PASS, Questa2021.2_1 seed1; completed scenario checks and required scoreboard comparisons.</x:t>
        </x:is>
      </x:c>
    </x:row>
    <x:row r="131" ht="210" customHeight="1">
      <x:c r="A131" s="22" t="str">
        <x:v>5.50</x:v>
      </x:c>
      <x:c r="B131" s="17" t="str">
        <x:v>RX all-one pattern</x:v>
      </x:c>
      <x:c r="C131" s="17" t="str">
        <x:v>Objective: Verify 0xFF is decoded correctly even with sustained high bits.
Setup: Reset, 8N1 16×; RX FIFO initially empty.
Stimulus: UART VIP drives 0xFF; AHB read RBR after frame completion.
Expected: RBR returns 0xFF and FIFO status indicates expected transition.
Checker / PASS: UART driven byte vs completed AHB read, with timeout and no extra item.
Coverage: RX ones pattern.</x:v>
      </x:c>
      <x:c r="D131" s="17" t="str">
        <x:v>uart_rx_pattern_ff_test</x:v>
      </x:c>
      <x:c r="E131" s="17" t="str">
        <x:v>High</x:v>
      </x:c>
      <x:c r="F131" s="17" t="str">
        <x:v>Directed</x:v>
      </x:c>
      <x:c r="G131" s="17"/>
      <x:c r="H131" s="23" t="inlineStr">
        <x:is>
          <x:t>Pass</x:t>
        </x:is>
      </x:c>
      <x:c r="I131" s="23" t="str">
        <x:v>M3</x:v>
      </x:c>
      <x:c r="J131" s="17" t="inlineStr">
        <x:is>
          <x:t>Spec §1.6.2 + §1.7.2.
Validation 2026-10-24: PASS, Questa2021.2_1 seed1; completed scenario checks and required scoreboard comparisons.</x:t>
        </x:is>
      </x:c>
    </x:row>
    <x:row r="132" ht="210" customHeight="1">
      <x:c r="A132" s="22" t="str">
        <x:v>5.51</x:v>
      </x:c>
      <x:c r="B132" s="17" t="inlineStr">
        <x:is>
          <x:t>RX minimum-gap stream, 8N1 / OSM13</x:t>
        </x:is>
      </x:c>
      <x:c r="C132" s="17" t="inlineStr">
        <x:is>
          <x:t>Objective: RX minimum-gap stream, 8N1 / OSM13.
Setup: HCLK=100MHz; MDR=1, DLL=0x43, DLH=0, LCR=0x23; RX FIFO initially empty; fixed8N1/13x.
Stimulus: Drive 0x21,0x43,0x65,0x87 with exactly one stop bit and no extra idle bit between frames; perform no RBR reads until all four frames finish, then drain four bytes.
Expected: All four bytes are returned once in order; no parity error; RX FIFO is empty after the fourth read.
Checker / PASS: Measure stimulus gap and compare independent UART input queue with four completed RBR reads; require final rx_empty=1 and no additional input frame.
Coverage: RX x minimum legal gap x 8N1 x OSM13 x queued stream.</x:t>
        </x:is>
      </x:c>
      <x:c r="D132" s="17" t="str">
        <x:v>uart_rx_stream_order_test</x:v>
      </x:c>
      <x:c r="E132" s="17" t="inlineStr">
        <x:is>
          <x:t>High</x:t>
        </x:is>
      </x:c>
      <x:c r="F132" s="17" t="str">
        <x:v>Directed</x:v>
      </x:c>
      <x:c r="G132" s="17"/>
      <x:c r="H132" s="23" t="inlineStr">
        <x:is>
          <x:t xml:space="preserve">Pass</x:t>
        </x:is>
      </x:c>
      <x:c r="I132" s="23" t="str">
        <x:v>M3</x:v>
      </x:c>
      <x:c r="J132" s="17" t="inlineStr">
        <x:is>
          <x:t xml:space="preserve">Spec §1.6.2/§1.7.2. Other minimum-gap format crosses are deferred. Case6.09 separately checks ordinary-gap FIFO ordering at OSM16. Scope refined for 150-case plan, 2026-10-24; original case ID/testname retained.
Validation 2026-10-24: PASS, Questa2021.2_1 seed1; completed scenario checks and required scoreboard comparisons.
VIP timing recheck 2026-10-24: PASS after simultaneous TX/RX thread isolation and absolute frame-end deadline fixes; Questa2021.2_1 seed1. No error catcher attached to DUT environment.</x:t>
        </x:is>
      </x:c>
    </x:row>
    <x:row r="133" ht="34" customHeight="1">
      <x:c r="A133" s="27" t="n">
        <x:v>6</x:v>
      </x:c>
      <x:c r="B133" s="28" t="str">
        <x:v>FIFO Verification</x:v>
      </x:c>
      <x:c r="C133" s="28"/>
      <x:c r="D133" s="28"/>
      <x:c r="E133" s="28"/>
      <x:c r="F133" s="28"/>
      <x:c r="G133" s="28"/>
      <x:c r="H133" s="29"/>
      <x:c r="I133" s="29"/>
      <x:c r="J133" s="28"/>
    </x:row>
    <x:row r="134" ht="210" customHeight="1">
      <x:c r="A134" s="22" t="str">
        <x:v>6.02</x:v>
      </x:c>
      <x:c r="B134" s="17" t="str">
        <x:v>TX FIFO reaches full</x:v>
      </x:c>
      <x:c r="C134" s="17" t="str">
        <x:v>Objective: Verify tx fifo reaches full.
Setup: Reset; configure valid UART mode with very slow legal divisor to limit dequeue; establish FIFO empty.
Stimulus: Write TBR repeatedly while tracking accepted pushes until TX full status is observed.
Expected: FSR.tx_full=1 when 16-byte FIFO storage reaches full; no assumption about internal shift-register occupancy.
Checker / PASS: Event/occupancy model and FSR full flag; avoid assuming exactly 16 writes if transmitter has consumed one.
Coverage: TX full occupancy.</x:v>
      </x:c>
      <x:c r="D134" s="17" t="str">
        <x:v>uart_fifo_tx_full_test</x:v>
      </x:c>
      <x:c r="E134" s="17" t="str">
        <x:v>High</x:v>
      </x:c>
      <x:c r="F134" s="17" t="str">
        <x:v>Directed</x:v>
      </x:c>
      <x:c r="G134" s="17"/>
      <x:c r="H134" s="23" t="inlineStr">
        <x:is>
          <x:t>Pass</x:t>
        </x:is>
      </x:c>
      <x:c r="I134" s="23" t="str">
        <x:v>M4</x:v>
      </x:c>
      <x:c r="J134" s="17" t="inlineStr">
        <x:is>
          <x:t>Spec §1.2, §2.2.6; FIFO depth 16; timing-dependent consumption.
Validation 2026-10-24: PASS, Questa2021.2_1 seed1; completed scenario checks and required scoreboard comparisons.</x:t>
        </x:is>
      </x:c>
    </x:row>
    <x:row r="135" ht="210" customHeight="1">
      <x:c r="A135" s="22" t="str">
        <x:v>6.03</x:v>
      </x:c>
      <x:c r="B135" s="17" t="str">
        <x:v>TX write while full ignored</x:v>
      </x:c>
      <x:c r="C135" s="17" t="inlineStr">
        <x:is>
          <x:t>Objective: Verify tx write while full ignored.
Setup: Produce confirmed TX full condition; valid config retained.
Stimulus: Attempt distinct extra TBR writes strictly while full, away from dequeue edge; drain and decode all accepted bytes; then enqueue and transmit a fresh marker after space is available.
Expected: Full-state writes produce no extra bytes; earlier data stays ordered; subsequent legal marker transmits exactly once, proving recovery.
Checker / PASS: Expected queue excludes write accepted at full; compare UART output; check no unexpected item.
Coverage: TX write-at-full ignored.</x:t>
        </x:is>
      </x:c>
      <x:c r="D135" s="17" t="str">
        <x:v>uart_fifo_tx_overflow_ignore_test</x:v>
      </x:c>
      <x:c r="E135" s="17" t="str">
        <x:v>High</x:v>
      </x:c>
      <x:c r="F135" s="17" t="str">
        <x:v>Directed</x:v>
      </x:c>
      <x:c r="G135" s="17"/>
      <x:c r="H135" s="23" t="inlineStr">
        <x:is>
          <x:t>Pass</x:t>
        </x:is>
      </x:c>
      <x:c r="I135" s="23" t="str">
        <x:v>M4</x:v>
      </x:c>
      <x:c r="J135" s="17" t="inlineStr">
        <x:is>
          <x:t>Spec §1.7.3. Strengthened overflow-ignore test with multiple rejected writes and recovery; coincident full-state push/pop acceptance is tracked separately as an open question.
Validation 2026-10-24: PASS, Questa2021.2_1 seed1; completed scenario checks and required scoreboard comparisons.</x:t>
        </x:is>
      </x:c>
    </x:row>
    <x:row r="136" ht="210" customHeight="1">
      <x:c r="A136" s="22" t="str">
        <x:v>6.05</x:v>
      </x:c>
      <x:c r="B136" s="17" t="str">
        <x:v>TX FIFO empty transition</x:v>
      </x:c>
      <x:c r="C136" s="17" t="str">
        <x:v>Objective: Verify tx fifo empty transition.
Setup: Reset; enable BGE with legal divisor; TX initially empty.
Stimulus: Write one TBR byte; poll FSR while transmitting and after it drains.
Expected: tx_empty reflects TX FIFO occupancy transitions; serialized byte remains correct.
Checker / PASS: FSR observations reconciled with TX dequeue and UART output; no assumption that tx_empty implies TX idle.
Coverage: TX nonempty→empty transition.</x:v>
      </x:c>
      <x:c r="D136" s="17" t="str">
        <x:v>uart_fifo_tx_drain_empty_test</x:v>
      </x:c>
      <x:c r="E136" s="17" t="str">
        <x:v>Medium</x:v>
      </x:c>
      <x:c r="F136" s="17" t="str">
        <x:v>Directed</x:v>
      </x:c>
      <x:c r="G136" s="17"/>
      <x:c r="H136" s="23" t="inlineStr">
        <x:is>
          <x:t>Pass</x:t>
        </x:is>
      </x:c>
      <x:c r="I136" s="23" t="str">
        <x:v>M4</x:v>
      </x:c>
      <x:c r="J136" s="17" t="inlineStr">
        <x:is>
          <x:t>Spec §1.7.1/§2.2.6; distinguish shifter busy from FIFO empty.
Validation 2026-10-24: PASS, Questa2021.2_1 seed1; completed scenario checks and required scoreboard comparisons.</x:t>
        </x:is>
      </x:c>
    </x:row>
    <x:row r="137" ht="210" customHeight="1">
      <x:c r="A137" s="22" t="str">
        <x:v>6.07</x:v>
      </x:c>
      <x:c r="B137" s="17" t="str">
        <x:v>RX FIFO becomes full</x:v>
      </x:c>
      <x:c r="C137" s="17" t="str">
        <x:v>Objective: Verify rx fifo becomes full.
Setup: Reset; configure valid 8N1 RX; do not read RBR during accumulation.
Stimulus: UART VIP drives 16 valid bytes sequentially; observe FSR.
Expected: RX full flag asserts after filling FIFO to documented 16-byte capacity.
Checker / PASS: RX expected occupancy counter + FSR; verify all 16 stored bytes during controlled drain.
Coverage: RX full occupancy.</x:v>
      </x:c>
      <x:c r="D137" s="17" t="str">
        <x:v>uart_fifo_rx_full_test</x:v>
      </x:c>
      <x:c r="E137" s="17" t="str">
        <x:v>High</x:v>
      </x:c>
      <x:c r="F137" s="17" t="str">
        <x:v>Directed</x:v>
      </x:c>
      <x:c r="G137" s="17"/>
      <x:c r="H137" s="23" t="inlineStr">
        <x:is>
          <x:t xml:space="preserve">Pass</x:t>
        </x:is>
      </x:c>
      <x:c r="I137" s="23" t="str">
        <x:v>M4</x:v>
      </x:c>
      <x:c r="J137" s="17" t="inlineStr">
        <x:is>
          <x:t xml:space="preserve">Spec §1.2, §1.7.2.
Validation 2026-10-24: PASS, Questa2021.2_1 seed1; completed scenario checks and required scoreboard comparisons.
VIP timing recheck 2026-10-24: PASS after simultaneous TX/RX thread isolation and absolute frame-end deadline fixes; Questa2021.2_1 seed1. No error catcher attached to DUT environment.</x:t>
        </x:is>
      </x:c>
    </x:row>
    <x:row r="138" ht="210" customHeight="1">
      <x:c r="A138" s="22" t="str">
        <x:v>6.08</x:v>
      </x:c>
      <x:c r="B138" s="17" t="str">
        <x:v>RX read from empty</x:v>
      </x:c>
      <x:c r="C138" s="17" t="str">
        <x:v>Objective: Verify rx read from empty.
Setup: Reset and confirm FSR.rx_empty=1.
Stimulus: Issue legal AHB read of RBR when FIFO empty.
Expected: Returned RBR data is undefined per spec; do not assert any fixed byte.
Checker / PASS: Check transaction completion and FSR empty state; intentionally skip data comparison.
Coverage: RX empty-read behavior.</x:v>
      </x:c>
      <x:c r="D138" s="17" t="str">
        <x:v>uart_fifo_rx_empty_read_test</x:v>
      </x:c>
      <x:c r="E138" s="17" t="str">
        <x:v>Medium</x:v>
      </x:c>
      <x:c r="F138" s="17" t="str">
        <x:v>Directed</x:v>
      </x:c>
      <x:c r="G138" s="17"/>
      <x:c r="H138" s="23" t="inlineStr">
        <x:is>
          <x:t>Pass</x:t>
        </x:is>
      </x:c>
      <x:c r="I138" s="23" t="str">
        <x:v>M4</x:v>
      </x:c>
      <x:c r="J138" s="17" t="inlineStr">
        <x:is>
          <x:t>Spec §1.7.3: read data undefined when RX FIFO empty.
Validation 2026-10-24: PASS, Questa2021.2_1 seed1; completed scenario checks and required scoreboard comparisons.</x:t>
        </x:is>
      </x:c>
    </x:row>
    <x:row r="139" ht="210" customHeight="1">
      <x:c r="A139" s="22" t="str">
        <x:v>6.09</x:v>
      </x:c>
      <x:c r="B139" s="17" t="inlineStr">
        <x:is>
          <x:t>RX FIFO ordering after ordinary-gap accumulation</x:t>
        </x:is>
      </x:c>
      <x:c r="C139" s="17" t="inlineStr">
        <x:is>
          <x:t>Objective: RX FIFO ordering after ordinary-gap accumulation.
Setup: Fixed8N1/OSM16 with legal divisor; RX FIFO initially empty.
Stimulus: Drive 0x13,0x37,0xAC,0xE5 with one extra idle-high bit after each legal stop; finish all inputs before reading RBR four times.
Expected: Read order equals serial input order and rx_empty asserts after the last byte.
Checker / PASS: Compare expected input queue with completed AHB reads; no reads during accumulation; require four data comparisons.
Coverage: RX x ordinary-gap accumulation x FIFO ordering x OSM16.</x:t>
        </x:is>
      </x:c>
      <x:c r="D139" s="17" t="str">
        <x:v>uart_fifo_rx_order_test</x:v>
      </x:c>
      <x:c r="E139" s="17" t="inlineStr">
        <x:is>
          <x:t>High</x:t>
        </x:is>
      </x:c>
      <x:c r="F139" s="17" t="str">
        <x:v>Directed</x:v>
      </x:c>
      <x:c r="G139" s="17"/>
      <x:c r="H139" s="23" t="inlineStr">
        <x:is>
          <x:t>Pass</x:t>
        </x:is>
      </x:c>
      <x:c r="I139" s="23" t="str">
        <x:v>M4</x:v>
      </x:c>
      <x:c r="J139" s="17" t="inlineStr">
        <x:is>
          <x:t>Spec §1.7.2. Distinct from5.51 minimum-gap framing; common queue checker may be reused. Scope refined for 150-case plan, 2026-10-24; original case ID/testname retained.
Validation 2026-10-24: PASS, Questa2021.2_1 seed1; completed scenario checks and required scoreboard comparisons.</x:t>
        </x:is>
      </x:c>
    </x:row>
    <x:row r="140" ht="210" customHeight="1">
      <x:c r="A140" s="22" t="str">
        <x:v>6.10</x:v>
      </x:c>
      <x:c r="B140" s="17" t="str">
        <x:v>RX FIFO drain from full</x:v>
      </x:c>
      <x:c r="C140" s="17" t="str">
        <x:v>Objective: Verify rx fifo drain from full.
Setup: Fill RX FIFO to confirmed full and keep further incoming traffic disabled.
Stimulus: Read sixteen received bytes from RBR while sampling FSR milestones.
Expected: rx_full deasserts once space becomes available; rx_empty asserts after final queued byte.
Checker / PASS: Occupancy reference-model counter and FSR flags; compare all 16 bytes in order.
Coverage: RX full→partial→empty.</x:v>
      </x:c>
      <x:c r="D140" s="17" t="str">
        <x:v>uart_fifo_rx_full_to_empty_test</x:v>
      </x:c>
      <x:c r="E140" s="17" t="str">
        <x:v>Medium</x:v>
      </x:c>
      <x:c r="F140" s="17" t="str">
        <x:v>Directed</x:v>
      </x:c>
      <x:c r="G140" s="17"/>
      <x:c r="H140" s="23" t="inlineStr">
        <x:is>
          <x:t>Pass</x:t>
        </x:is>
      </x:c>
      <x:c r="I140" s="23" t="str">
        <x:v>M4</x:v>
      </x:c>
      <x:c r="J140" s="17" t="inlineStr">
        <x:is>
          <x:t>Spec §1.7.2 and FSR; do not assume unsupported overflow discard policy.
Validation 2026-10-24: PASS, Questa2021.2_1 seed1; completed scenario checks and required scoreboard comparisons.</x:t>
        </x:is>
      </x:c>
    </x:row>
    <x:row r="141" ht="34" customHeight="1">
      <x:c r="A141" s="27" t="n">
        <x:v>7</x:v>
      </x:c>
      <x:c r="B141" s="28" t="str">
        <x:v>Interrupt Verification</x:v>
      </x:c>
      <x:c r="C141" s="28"/>
      <x:c r="D141" s="28"/>
      <x:c r="E141" s="28"/>
      <x:c r="F141" s="28"/>
      <x:c r="G141" s="28"/>
      <x:c r="H141" s="29"/>
      <x:c r="I141" s="29"/>
      <x:c r="J141" s="28"/>
    </x:row>
    <x:row r="142" ht="210" customHeight="1">
      <x:c r="A142" s="22" t="str">
        <x:v>7.01</x:v>
      </x:c>
      <x:c r="B142" s="17" t="str">
        <x:v>TX FIFO full interrupt enabled</x:v>
      </x:c>
      <x:c r="C142" s="17" t="str">
        <x:v>Objective: Verify tx fifo full asserts the hard interrupt when source enabled.
Setup: Reset; all IER bits=0; Fill TX FIFO while limiting TX dequeue; confirm tx_full status; set IER.bit0=1.
Stimulus: Observe interrupt; then remove source condition or clear status where documented.
Expected: interrupt asserts for FSR.bit0=1 with IER[0]=1; deassertion tracks documented source status clearing.
Checker / PASS: AHB monitor reads IER/FSR; top interrupt pin monitor computes OR of enabled active sources.
Coverage: tx_full interrupt enable/assert/deassert.</x:v>
      </x:c>
      <x:c r="D142" s="17" t="str">
        <x:v>uart_intr_tx_full_enable_test</x:v>
      </x:c>
      <x:c r="E142" s="17" t="str">
        <x:v>High</x:v>
      </x:c>
      <x:c r="F142" s="17" t="str">
        <x:v>Directed</x:v>
      </x:c>
      <x:c r="G142" s="17"/>
      <x:c r="H142" s="23" t="inlineStr">
        <x:is>
          <x:t>Pass</x:t>
        </x:is>
      </x:c>
      <x:c r="I142" s="23" t="str">
        <x:v>M4</x:v>
      </x:c>
      <x:c r="J142" s="17" t="inlineStr">
        <x:is>
          <x:t>Spec §1.7.1–1.7.2 + §2.2.5–2.2.6; odd empty/full interrupt semantics are spec-defined.
Validation 2026-10-24: PASS, Questa2021.2_1 seed1; completed scenario checks and required scoreboard comparisons.</x:t>
        </x:is>
      </x:c>
    </x:row>
    <x:row r="143" ht="210" customHeight="1">
      <x:c r="A143" s="22" t="str">
        <x:v>7.02</x:v>
      </x:c>
      <x:c r="B143" s="17" t="str">
        <x:v>TX FIFO full interrupt masked</x:v>
      </x:c>
      <x:c r="C143" s="17" t="str">
        <x:v>Objective: Verify active tx fifo full status does not assert interrupt when disabled.
Setup: Reset; all IER bits=0; Fill TX FIFO while limiting TX dequeue; confirm tx_full status; leave IER.bit0=0.
Stimulus: Observe interrupt with all other sources disabled while the target status remains active.
Expected: interrupt=0 despite FSR.bit0=1 because IER[0]=0.
Checker / PASS: Compare enabled-mask source OR to interrupt pin; check no other enabled sources.
Coverage: tx_full source status × masked.</x:v>
      </x:c>
      <x:c r="D143" s="17" t="str">
        <x:v>uart_intr_tx_full_mask_test</x:v>
      </x:c>
      <x:c r="E143" s="17" t="str">
        <x:v>Medium</x:v>
      </x:c>
      <x:c r="F143" s="17" t="str">
        <x:v>Directed</x:v>
      </x:c>
      <x:c r="G143" s="17"/>
      <x:c r="H143" s="23" t="inlineStr">
        <x:is>
          <x:t>Pass</x:t>
        </x:is>
      </x:c>
      <x:c r="I143" s="23" t="str">
        <x:v>M4</x:v>
      </x:c>
      <x:c r="J143" s="17" t="inlineStr">
        <x:is>
          <x:t>Spec §2.2.5; source generation independent of interrupt-enable bit.
Validation 2026-10-24: PASS, Questa2021.2_1 seed1; completed scenario checks and required scoreboard comparisons.</x:t>
        </x:is>
      </x:c>
    </x:row>
    <x:row r="144" ht="210" customHeight="1">
      <x:c r="A144" s="22" t="str">
        <x:v>7.03</x:v>
      </x:c>
      <x:c r="B144" s="17" t="str">
        <x:v>TX FIFO empty interrupt enabled</x:v>
      </x:c>
      <x:c r="C144" s="17" t="str">
        <x:v>Objective: Verify tx fifo empty asserts the hard interrupt when source enabled.
Setup: Reset; all IER bits=0; Reset and confirm TX FIFO empty; set IER.bit1=1.
Stimulus: Observe interrupt; then remove source condition or clear status where documented.
Expected: interrupt asserts for FSR.bit1=1 with IER[1]=1; deassertion tracks documented source status clearing.
Checker / PASS: AHB monitor reads IER/FSR; top interrupt pin monitor computes OR of enabled active sources.
Coverage: tx_empty interrupt enable/assert/deassert.</x:v>
      </x:c>
      <x:c r="D144" s="17" t="str">
        <x:v>uart_intr_tx_empty_enable_test</x:v>
      </x:c>
      <x:c r="E144" s="17" t="str">
        <x:v>High</x:v>
      </x:c>
      <x:c r="F144" s="17" t="str">
        <x:v>Directed</x:v>
      </x:c>
      <x:c r="G144" s="17"/>
      <x:c r="H144" s="23" t="inlineStr">
        <x:is>
          <x:t>Pass</x:t>
        </x:is>
      </x:c>
      <x:c r="I144" s="23" t="str">
        <x:v>M4</x:v>
      </x:c>
      <x:c r="J144" s="17" t="inlineStr">
        <x:is>
          <x:t>Spec §1.7.1–1.7.2 + §2.2.5–2.2.6; odd empty/full interrupt semantics are spec-defined.
Validation 2026-10-24: PASS, Questa2021.2_1 seed1; completed scenario checks and required scoreboard comparisons.</x:t>
        </x:is>
      </x:c>
    </x:row>
    <x:row r="145" ht="210" customHeight="1">
      <x:c r="A145" s="22" t="str">
        <x:v>7.04</x:v>
      </x:c>
      <x:c r="B145" s="17" t="str">
        <x:v>TX FIFO empty interrupt masked</x:v>
      </x:c>
      <x:c r="C145" s="17" t="str">
        <x:v>Objective: Verify active tx fifo empty status does not assert interrupt when disabled.
Setup: Reset; all IER bits=0; Reset and confirm TX FIFO empty; leave IER.bit1=0.
Stimulus: Observe interrupt with all other sources disabled while the target status remains active.
Expected: interrupt=0 despite FSR.bit1=1 because IER[1]=0.
Checker / PASS: Compare enabled-mask source OR to interrupt pin; check no other enabled sources.
Coverage: tx_empty source status × masked.</x:v>
      </x:c>
      <x:c r="D145" s="17" t="str">
        <x:v>uart_intr_tx_empty_mask_test</x:v>
      </x:c>
      <x:c r="E145" s="17" t="str">
        <x:v>Medium</x:v>
      </x:c>
      <x:c r="F145" s="17" t="str">
        <x:v>Directed</x:v>
      </x:c>
      <x:c r="G145" s="17"/>
      <x:c r="H145" s="23" t="inlineStr">
        <x:is>
          <x:t>Pass</x:t>
        </x:is>
      </x:c>
      <x:c r="I145" s="23" t="str">
        <x:v>M4</x:v>
      </x:c>
      <x:c r="J145" s="17" t="inlineStr">
        <x:is>
          <x:t>Spec §2.2.5; source generation independent of interrupt-enable bit.
Validation 2026-10-24: PASS, Questa2021.2_1 seed1; completed scenario checks and required scoreboard comparisons.</x:t>
        </x:is>
      </x:c>
    </x:row>
    <x:row r="146" ht="210" customHeight="1">
      <x:c r="A146" s="22" t="str">
        <x:v>7.05</x:v>
      </x:c>
      <x:c r="B146" s="17" t="str">
        <x:v>RX FIFO full interrupt enabled</x:v>
      </x:c>
      <x:c r="C146" s="17" t="str">
        <x:v>Objective: Verify rx fifo full asserts the hard interrupt when source enabled.
Setup: Reset; all IER bits=0; Drive 16 RX bytes without draining; confirm RX FIFO full; set IER.bit2=1.
Stimulus: Observe interrupt; then remove source condition or clear status where documented.
Expected: interrupt asserts for FSR.bit2=1 with IER[2]=1; deassertion tracks documented source status clearing.
Checker / PASS: AHB monitor reads IER/FSR; top interrupt pin monitor computes OR of enabled active sources.
Coverage: rx_full interrupt enable/assert/deassert.</x:v>
      </x:c>
      <x:c r="D146" s="17" t="str">
        <x:v>uart_intr_rx_full_enable_test</x:v>
      </x:c>
      <x:c r="E146" s="17" t="str">
        <x:v>High</x:v>
      </x:c>
      <x:c r="F146" s="17" t="str">
        <x:v>Directed</x:v>
      </x:c>
      <x:c r="G146" s="17"/>
      <x:c r="H146" s="23" t="inlineStr">
        <x:is>
          <x:t>Pass</x:t>
        </x:is>
      </x:c>
      <x:c r="I146" s="23" t="str">
        <x:v>M4</x:v>
      </x:c>
      <x:c r="J146" s="17" t="inlineStr">
        <x:is>
          <x:t>Spec §1.7.1–1.7.2 + §2.2.5–2.2.6; odd empty/full interrupt semantics are spec-defined.
Validation 2026-10-24: PASS, Questa2021.2_1 seed1; completed scenario checks and required scoreboard comparisons.</x:t>
        </x:is>
      </x:c>
    </x:row>
    <x:row r="147" ht="210" customHeight="1">
      <x:c r="A147" s="22" t="str">
        <x:v>7.06</x:v>
      </x:c>
      <x:c r="B147" s="17" t="str">
        <x:v>RX FIFO full interrupt masked</x:v>
      </x:c>
      <x:c r="C147" s="17" t="str">
        <x:v>Objective: Verify active rx fifo full status does not assert interrupt when disabled.
Setup: Reset; all IER bits=0; Drive 16 RX bytes without draining; confirm RX FIFO full; leave IER.bit2=0.
Stimulus: Observe interrupt with all other sources disabled while the target status remains active.
Expected: interrupt=0 despite FSR.bit2=1 because IER[2]=0.
Checker / PASS: Compare enabled-mask source OR to interrupt pin; check no other enabled sources.
Coverage: rx_full source status × masked.</x:v>
      </x:c>
      <x:c r="D147" s="17" t="str">
        <x:v>uart_intr_rx_full_mask_test</x:v>
      </x:c>
      <x:c r="E147" s="17" t="str">
        <x:v>Medium</x:v>
      </x:c>
      <x:c r="F147" s="17" t="str">
        <x:v>Directed</x:v>
      </x:c>
      <x:c r="G147" s="17"/>
      <x:c r="H147" s="23" t="inlineStr">
        <x:is>
          <x:t xml:space="preserve">Pass</x:t>
        </x:is>
      </x:c>
      <x:c r="I147" s="23" t="str">
        <x:v>M4</x:v>
      </x:c>
      <x:c r="J147" s="17" t="inlineStr">
        <x:is>
          <x:t xml:space="preserve">Spec §2.2.5; source generation independent of interrupt-enable bit.
Validation 2026-10-24: PASS, Questa2021.2_1 seed1; completed scenario checks and required scoreboard comparisons.
VIP timing recheck 2026-10-24: PASS after simultaneous TX/RX thread isolation and absolute frame-end deadline fixes; Questa2021.2_1 seed1. No error catcher attached to DUT environment.</x:t>
        </x:is>
      </x:c>
    </x:row>
    <x:row r="148" ht="210" customHeight="1">
      <x:c r="A148" s="22" t="str">
        <x:v>7.07</x:v>
      </x:c>
      <x:c r="B148" s="17" t="str">
        <x:v>RX FIFO empty interrupt enabled</x:v>
      </x:c>
      <x:c r="C148" s="17" t="str">
        <x:v>Objective: Verify rx fifo empty asserts the hard interrupt when source enabled.
Setup: Reset; all IER bits=0; Reset and confirm RX FIFO empty; set IER.bit3=1.
Stimulus: Observe interrupt; then remove source condition or clear status where documented.
Expected: interrupt asserts for FSR.bit3=1 with IER[3]=1; deassertion tracks documented source status clearing.
Checker / PASS: AHB monitor reads IER/FSR; top interrupt pin monitor computes OR of enabled active sources.
Coverage: rx_empty interrupt enable/assert/deassert.</x:v>
      </x:c>
      <x:c r="D148" s="17" t="str">
        <x:v>uart_intr_rx_empty_enable_test</x:v>
      </x:c>
      <x:c r="E148" s="17" t="str">
        <x:v>High</x:v>
      </x:c>
      <x:c r="F148" s="17" t="str">
        <x:v>Directed</x:v>
      </x:c>
      <x:c r="G148" s="17"/>
      <x:c r="H148" s="23" t="inlineStr">
        <x:is>
          <x:t>Pass</x:t>
        </x:is>
      </x:c>
      <x:c r="I148" s="23" t="str">
        <x:v>M4</x:v>
      </x:c>
      <x:c r="J148" s="17" t="inlineStr">
        <x:is>
          <x:t>Spec §1.7.1–1.7.2 + §2.2.5–2.2.6; odd empty/full interrupt semantics are spec-defined.
Validation 2026-10-24: PASS, Questa2021.2_1 seed1; completed scenario checks and required scoreboard comparisons.</x:t>
        </x:is>
      </x:c>
    </x:row>
    <x:row r="149" ht="210" customHeight="1">
      <x:c r="A149" s="22" t="str">
        <x:v>7.08</x:v>
      </x:c>
      <x:c r="B149" s="17" t="str">
        <x:v>RX FIFO empty interrupt masked</x:v>
      </x:c>
      <x:c r="C149" s="17" t="str">
        <x:v>Objective: Verify active rx fifo empty status does not assert interrupt when disabled.
Setup: Reset; all IER bits=0; Reset and confirm RX FIFO empty; leave IER.bit3=0.
Stimulus: Observe interrupt with all other sources disabled while the target status remains active.
Expected: interrupt=0 despite FSR.bit3=1 because IER[3]=0.
Checker / PASS: Compare enabled-mask source OR to interrupt pin; check no other enabled sources.
Coverage: rx_empty source status × masked.</x:v>
      </x:c>
      <x:c r="D149" s="17" t="str">
        <x:v>uart_intr_rx_empty_mask_test</x:v>
      </x:c>
      <x:c r="E149" s="17" t="str">
        <x:v>Medium</x:v>
      </x:c>
      <x:c r="F149" s="17" t="str">
        <x:v>Directed</x:v>
      </x:c>
      <x:c r="G149" s="17"/>
      <x:c r="H149" s="23" t="inlineStr">
        <x:is>
          <x:t>Pass</x:t>
        </x:is>
      </x:c>
      <x:c r="I149" s="23" t="str">
        <x:v>M4</x:v>
      </x:c>
      <x:c r="J149" s="17" t="inlineStr">
        <x:is>
          <x:t>Spec §2.2.5; source generation independent of interrupt-enable bit.
Validation 2026-10-24: PASS, Questa2021.2_1 seed1; completed scenario checks and required scoreboard comparisons.</x:t>
        </x:is>
      </x:c>
    </x:row>
    <x:row r="150" ht="210" customHeight="1">
      <x:c r="A150" s="22" t="str">
        <x:v>7.09</x:v>
      </x:c>
      <x:c r="B150" s="17" t="str">
        <x:v>Parity error interrupt enabled</x:v>
      </x:c>
      <x:c r="C150" s="17" t="str">
        <x:v>Objective: Verify parity error asserts the hard interrupt when source enabled.
Setup: Reset; all IER bits=0; Configure parity-enabled UART RX, inject a bad parity frame; confirm parity status; set IER.bit4=1.
Stimulus: Observe interrupt; then remove source condition or clear status where documented.
Expected: interrupt asserts for FSR.bit4=1 with IER[4]=1; deassertion tracks documented source status clearing.
Checker / PASS: AHB monitor reads IER/FSR; top interrupt pin monitor computes OR of enabled active sources.
Coverage: parity_error interrupt enable/assert/deassert.</x:v>
      </x:c>
      <x:c r="D150" s="17" t="str">
        <x:v>uart_intr_parity_error_enable_test</x:v>
      </x:c>
      <x:c r="E150" s="17" t="str">
        <x:v>High</x:v>
      </x:c>
      <x:c r="F150" s="17" t="str">
        <x:v>Directed</x:v>
      </x:c>
      <x:c r="G150" s="17"/>
      <x:c r="H150" s="23" t="inlineStr">
        <x:is>
          <x:t>Fail</x:t>
        </x:is>
      </x:c>
      <x:c r="I150" s="23" t="str">
        <x:v>M4</x:v>
      </x:c>
      <x:c r="J150" s="17" t="inlineStr">
        <x:is>
          <x:t>Spec §1.7.1–1.7.2 + §2.2.5–2.2.6; odd empty/full interrupt semantics are spec-defined.
Validation 2026-10-24: FAIL, Questa2021.2_1 seed1. Injected bad parity was independently observed, but FSR.bit4 did not assert; W1C/sticky/IRQ scenarios cannot establish their required initial parity-error condition. Reproducer: uart_intr_parity_error_enable_test.</x:t>
        </x:is>
      </x:c>
    </x:row>
    <x:row r="151" ht="210" customHeight="1">
      <x:c r="A151" s="22" t="str">
        <x:v>7.10</x:v>
      </x:c>
      <x:c r="B151" s="17" t="str">
        <x:v>Parity error interrupt masked</x:v>
      </x:c>
      <x:c r="C151" s="17" t="str">
        <x:v>Objective: Verify active parity error status does not assert interrupt when disabled.
Setup: Reset; all IER bits=0; Configure parity-enabled UART RX, inject a bad parity frame; confirm parity status; leave IER.bit4=0.
Stimulus: Observe interrupt with all other sources disabled while the target status remains active.
Expected: interrupt=0 despite FSR.bit4=1 because IER[4]=0.
Checker / PASS: Compare enabled-mask source OR to interrupt pin; check no other enabled sources.
Coverage: parity_error source status × masked.</x:v>
      </x:c>
      <x:c r="D151" s="17" t="str">
        <x:v>uart_intr_parity_error_mask_test</x:v>
      </x:c>
      <x:c r="E151" s="17" t="str">
        <x:v>Medium</x:v>
      </x:c>
      <x:c r="F151" s="17" t="str">
        <x:v>Directed</x:v>
      </x:c>
      <x:c r="G151" s="17"/>
      <x:c r="H151" s="23" t="inlineStr">
        <x:is>
          <x:t>Fail</x:t>
        </x:is>
      </x:c>
      <x:c r="I151" s="23" t="str">
        <x:v>M4</x:v>
      </x:c>
      <x:c r="J151" s="17" t="inlineStr">
        <x:is>
          <x:t>Spec §2.2.5; source generation independent of interrupt-enable bit.
Validation 2026-10-24: FAIL, Questa2021.2_1 seed1. Injected bad parity was independently observed, but FSR.bit4 did not assert; W1C/sticky/IRQ scenarios cannot establish their required initial parity-error condition. Reproducer: uart_intr_parity_error_mask_test.</x:t>
        </x:is>
      </x:c>
    </x:row>
    <x:row r="152" ht="34" customHeight="1">
      <x:c r="A152" s="27" t="n">
        <x:v>8</x:v>
      </x:c>
      <x:c r="B152" s="28" t="str">
        <x:v>Parity Error Verification</x:v>
      </x:c>
      <x:c r="C152" s="28"/>
      <x:c r="D152" s="28"/>
      <x:c r="E152" s="28"/>
      <x:c r="F152" s="28"/>
      <x:c r="G152" s="28"/>
      <x:c r="H152" s="29"/>
      <x:c r="I152" s="29"/>
      <x:c r="J152" s="28"/>
    </x:row>
    <x:row r="153" ht="210" customHeight="1">
      <x:c r="A153" s="22" t="str">
        <x:v>8.01</x:v>
      </x:c>
      <x:c r="B153" s="17" t="str">
        <x:v>Even parity mismatch detection</x:v>
      </x:c>
      <x:c r="C153" s="17" t="str">
        <x:v>Objective: Verify parity mismatch in even-parity RX raises FSR parity error.
Setup: Reset; 8E1, 16×; configure LCR.PEN=1, EPS=1.
Stimulus: Drive one frame with inverted correct even-parity bit; read FSR.
Expected: FSR.parrity_error_status=1 after received parity mismatch.
Checker / PASS: UART input error is expected; FSR bit4 compared; data retention policy not assumed.
Coverage: Even parity mismatch.</x:v>
      </x:c>
      <x:c r="D153" s="17" t="str">
        <x:v>uart_parity_even_inject_test</x:v>
      </x:c>
      <x:c r="E153" s="17" t="str">
        <x:v>High</x:v>
      </x:c>
      <x:c r="F153" s="17" t="str">
        <x:v>Directed</x:v>
      </x:c>
      <x:c r="G153" s="17"/>
      <x:c r="H153" s="23" t="inlineStr">
        <x:is>
          <x:t xml:space="preserve">Fail</x:t>
        </x:is>
      </x:c>
      <x:c r="I153" s="23" t="str">
        <x:v>M4</x:v>
      </x:c>
      <x:c r="J153" s="17" t="inlineStr">
        <x:is>
          <x:t xml:space="preserve">Spec §1.2 parity check and §2.2.6; must not count intentional bad input as unexpected UVM_ERROR.
Validation 2026-10-24: FAIL, Questa2021.2_1 seed1. Injected bad parity was independently observed, but FSR.bit4 did not assert; W1C/sticky/IRQ scenarios cannot establish their required initial parity-error condition. Reproducer: uart_parity_even_inject_test.
VIP timing recheck 2026-10-24: FAIL after simultaneous TX/RX thread isolation and absolute frame-end deadline fixes; Questa2021.2_1 seed1. No error catcher attached to DUT environment.</x:t>
        </x:is>
      </x:c>
    </x:row>
    <x:row r="154" ht="210" customHeight="1">
      <x:c r="A154" s="22" t="str">
        <x:v>8.02</x:v>
      </x:c>
      <x:c r="B154" s="17" t="str">
        <x:v>Odd parity mismatch detection</x:v>
      </x:c>
      <x:c r="C154" s="17" t="str">
        <x:v>Objective: Verify parity mismatch in odd-parity RX raises FSR parity error.
Setup: Reset; 8O1, 16×; configure LCR.PEN=1, EPS=0.
Stimulus: Inject one UART frame with wrong odd parity; read FSR.
Expected: FSR bit4 asserts due to mismatch.
Checker / PASS: UART monitor and FSR bit4; expected-error handling must be scoped to this test.
Coverage: Odd parity mismatch.</x:v>
      </x:c>
      <x:c r="D154" s="17" t="str">
        <x:v>uart_parity_odd_inject_test</x:v>
      </x:c>
      <x:c r="E154" s="17" t="str">
        <x:v>High</x:v>
      </x:c>
      <x:c r="F154" s="17" t="str">
        <x:v>Directed</x:v>
      </x:c>
      <x:c r="G154" s="17"/>
      <x:c r="H154" s="23" t="inlineStr">
        <x:is>
          <x:t xml:space="preserve">Fail</x:t>
        </x:is>
      </x:c>
      <x:c r="I154" s="23" t="str">
        <x:v>M4</x:v>
      </x:c>
      <x:c r="J154" s="17" t="inlineStr">
        <x:is>
          <x:t xml:space="preserve">Spec §1.2 and §2.2.6.
Validation 2026-10-24: FAIL, Questa2021.2_1 seed1. Injected bad parity was independently observed, but FSR.bit4 did not assert; W1C/sticky/IRQ scenarios cannot establish their required initial parity-error condition. Reproducer: uart_parity_odd_inject_test.
VIP timing recheck 2026-10-24: FAIL after simultaneous TX/RX thread isolation and absolute frame-end deadline fixes; Questa2021.2_1 seed1. No error catcher attached to DUT environment.</x:t>
        </x:is>
      </x:c>
    </x:row>
    <x:row r="155" ht="210" customHeight="1">
      <x:c r="A155" s="22" t="str">
        <x:v>8.03</x:v>
      </x:c>
      <x:c r="B155" s="17" t="str">
        <x:v>Parity-error status sticky until W1C</x:v>
      </x:c>
      <x:c r="C155" s="17" t="str">
        <x:v>Objective: Verify captured parity error remains set until software clears it.
Setup: Reset; parity enabled; inject bad parity RX frame and verify FSR bit4 high.
Stimulus: Send later valid frame, read FSR again without W1C write.
Expected: FSR bit4 remains latched if specified W1C status semantics apply; if RTL differs, report discrepancy.
Checker / PASS: FSR bit4 checker; isolate to no new errors and document uncertainty.
Coverage: Sticky parity-error flag.</x:v>
      </x:c>
      <x:c r="D155" s="17" t="str">
        <x:v>uart_parity_sticky_status_test</x:v>
      </x:c>
      <x:c r="E155" s="17" t="str">
        <x:v>Medium</x:v>
      </x:c>
      <x:c r="F155" s="17" t="str">
        <x:v>Directed</x:v>
      </x:c>
      <x:c r="G155" s="17"/>
      <x:c r="H155" s="23" t="inlineStr">
        <x:is>
          <x:t>Fail</x:t>
        </x:is>
      </x:c>
      <x:c r="I155" s="23" t="str">
        <x:v>M4</x:v>
      </x:c>
      <x:c r="J155" s="17" t="inlineStr">
        <x:is>
          <x:t>Derived from R/W1C field semantics §2.1/§2.2.6, not an explicit temporal persistence guarantee.
Validation 2026-10-24: FAIL, Questa2021.2_1 seed1. Injected bad parity was independently observed, but FSR.bit4 did not assert; W1C/sticky/IRQ scenarios cannot establish their required initial parity-error condition. Reproducer: uart_parity_sticky_status_test.</x:t>
        </x:is>
      </x:c>
    </x:row>
    <x:row r="156" ht="210" customHeight="1">
      <x:c r="A156" s="22" t="str">
        <x:v>8.04</x:v>
      </x:c>
      <x:c r="B156" s="17" t="str">
        <x:v>Parity error clear and reassert</x:v>
      </x:c>
      <x:c r="C156" s="17" t="str">
        <x:v>Objective: Verify parity status reasserts after a new bad frame following W1C clear.
Setup: Create parity error status bit4=1; write one to bit4 and confirm cleared.
Stimulus: Inject a different bad parity frame and read FSR.
Expected: Bit4 reasserts for new mismatch; writing 0 leaves it intact.
Checker / PASS: FSR status model with clear/reassert transitions; scoreboard ensures fresh UART event.
Coverage: W1C clear/reassert.</x:v>
      </x:c>
      <x:c r="D156" s="17" t="str">
        <x:v>uart_parity_w1c_reassert_test</x:v>
      </x:c>
      <x:c r="E156" s="17" t="str">
        <x:v>High</x:v>
      </x:c>
      <x:c r="F156" s="17" t="str">
        <x:v>Directed</x:v>
      </x:c>
      <x:c r="G156" s="17"/>
      <x:c r="H156" s="23" t="inlineStr">
        <x:is>
          <x:t>Fail</x:t>
        </x:is>
      </x:c>
      <x:c r="I156" s="23" t="str">
        <x:v>M4</x:v>
      </x:c>
      <x:c r="J156" s="17" t="inlineStr">
        <x:is>
          <x:t>Spec §2.2.6; separate from simple W1C register check.
Validation 2026-10-24: FAIL, Questa2021.2_1 seed1. Injected bad parity was independently observed, but FSR.bit4 did not assert; W1C/sticky/IRQ scenarios cannot establish their required initial parity-error condition. Reproducer: uart_parity_w1c_reassert_test.</x:t>
        </x:is>
      </x:c>
    </x:row>
    <x:row r="157" ht="210" customHeight="1">
      <x:c r="A157" s="22" t="str">
        <x:v>8.05</x:v>
      </x:c>
      <x:c r="B157" s="17" t="str">
        <x:v>Parity disabled ignores EPS</x:v>
      </x:c>
      <x:c r="C157" s="17" t="str">
        <x:v>Objective: Verify EPS selection does not introduce parity checking while PEN=0.
Setup: Reset; configure 8N1 with PEN=0; first EPS=0, then EPS=1 between idle frames.
Stimulus: Drive otherwise identical 8N1 frames without parity bits in each EPS setting.
Expected: Both bytes are received correctly and parity-error status remains clear.
Checker / PASS: Compare independent RBR reads to transmitted bytes; FSR bit4 stays zero.
Coverage: PEN=0 × EPS0/EPS1.</x:v>
      </x:c>
      <x:c r="D157" s="17" t="str">
        <x:v>uart_parity_disabled_eps_test</x:v>
      </x:c>
      <x:c r="E157" s="17" t="str">
        <x:v>Medium</x:v>
      </x:c>
      <x:c r="F157" s="17" t="str">
        <x:v>Directed</x:v>
      </x:c>
      <x:c r="G157" s="17"/>
      <x:c r="H157" s="23" t="inlineStr">
        <x:is>
          <x:t>Pass</x:t>
        </x:is>
      </x:c>
      <x:c r="I157" s="23" t="str">
        <x:v>M4</x:v>
      </x:c>
      <x:c r="J157" s="17" t="inlineStr">
        <x:is>
          <x:t>Spec §2.2.4 says EPS only relevant when PEN=1; two EPS settings are one no-parity mode.
Validation 2026-10-24: PASS, Questa2021.2_1 seed1; completed scenario checks and required scoreboard comparisons.</x:t>
        </x:is>
      </x:c>
    </x:row>
    <x:row r="158" ht="34" customHeight="1">
      <x:c r="A158" s="24" t="inlineStr">
        <x:is>
          <x:t>10</x:t>
        </x:is>
      </x:c>
      <x:c r="B158" s="25" t="inlineStr">
        <x:is>
          <x:t>Reset During Activity and Recovery</x:t>
        </x:is>
      </x:c>
      <x:c r="C158" s="25"/>
      <x:c r="D158" s="25"/>
      <x:c r="E158" s="25"/>
      <x:c r="F158" s="25"/>
      <x:c r="G158" s="25"/>
      <x:c r="H158" s="25"/>
      <x:c r="I158" s="25"/>
      <x:c r="J158" s="25"/>
    </x:row>
    <x:row r="159" ht="210" customHeight="1">
      <x:c r="A159" s="31" t="inlineStr">
        <x:is>
          <x:t>10.02</x:t>
        </x:is>
      </x:c>
      <x:c r="B159" s="30" t="inlineStr">
        <x:is>
          <x:t>Reset during TX data bit3, 8E1 / OSM16</x:t>
        </x:is>
      </x:c>
      <x:c r="C159" s="30" t="inlineStr">
        <x:is>
          <x:t>Objective: Reset during TX data bit3, 8E1 / OSM16.
Setup: HCLK=100MHz; MDR=0, DLL=0x36, DLH=0; LCR=0x3B (8E1); one queued TX frame0xA6.
Stimulus: After detecting TX start, assert HRESETN midway through data bit3 (zero-based, LSB-first); release, reinitialize the same format and transmit fresh marker0x5A.
Expected: Defined registers return to reset defaults and TX FIFO is empty; after initialization exactly one fresh0x5A frame is transmitted without stale queued data.
Checker / PASS: Reset-aware serial monitor flushes only interrupted expectation. Check masked reset fields and compare the complete post-reset marker; no assertion about interrupted-frame pin transient.
Coverage: TX reset during data bit3 x 8E1 x OSM16 x recovery.</x:t>
        </x:is>
      </x:c>
      <x:c r="D159" s="30" t="inlineStr">
        <x:is>
          <x:t>uart_reset_tx_phase_test</x:t>
        </x:is>
      </x:c>
      <x:c r="E159" s="30" t="inlineStr">
        <x:is>
          <x:t>High</x:t>
        </x:is>
      </x:c>
      <x:c r="F159" s="30" t="inlineStr">
        <x:is>
          <x:t>Directed</x:t>
        </x:is>
      </x:c>
      <x:c r="G159" s="30"/>
      <x:c r="H159" s="32" t="inlineStr">
        <x:is>
          <x:t xml:space="preserve">Fail</x:t>
        </x:is>
      </x:c>
      <x:c r="I159" s="32" t="inlineStr">
        <x:is>
          <x:t>M4</x:t>
        </x:is>
      </x:c>
      <x:c r="J159" s="30" t="inlineStr">
        <x:is>
          <x:t xml:space="preserve">Spec §2.2 reset values; §1.7.1. Reset recovery derived from reset semantics. Other reset phases/formats/OSM are outside selected scope. Scope refined for 150-case plan, 2026-10-24; original case ID/testname retained.
Validation 2026-10-24: FAIL, Questa2021.2_1 seed1. Data comparison occurred, but DUT TX parity differs from the active-width even/odd reference. Reset/masking cases also depend on correct TX parity. Reproducer: uart_reset_tx_phase_test.
VIP timing recheck 2026-10-24: FAIL after simultaneous TX/RX thread isolation and absolute frame-end deadline fixes; Questa2021.2_1 seed1. No error catcher attached to DUT environment.</x:t>
        </x:is>
      </x:c>
    </x:row>
    <x:row r="160" ht="210" customHeight="1">
      <x:c r="A160" s="31" t="inlineStr">
        <x:is>
          <x:t>10.03</x:t>
        </x:is>
      </x:c>
      <x:c r="B160" s="30" t="inlineStr">
        <x:is>
          <x:t>Reset during RX data bit3, 8E1 / OSM16</x:t>
        </x:is>
      </x:c>
      <x:c r="C160" s="30" t="inlineStr">
        <x:is>
          <x:t>Objective: Reset during RX data bit3, 8E1 / OSM16.
Setup: Same fixed8E1/OSM16 setup as10.02; RX initially idle high; drive0xA6.
Stimulus: Assert reset midway through RX data bit3; abort input and restore RX idle high; release, reinitialize and send a fresh0x5A frame.
Expected: FSR resets to0x0A with parity flag clear; only the fresh marker is received after initialization and FIFO returns empty after its read.
Checker / PASS: Discard interrupted stimulus at reset, check defined reset values and compare one completed post-reset RBR read to0x5A. Empty RBR data is never compared.
Coverage: RX reset during data bit3 x 8E1 x OSM16 x recovery.</x:t>
        </x:is>
      </x:c>
      <x:c r="D160" s="30" t="inlineStr">
        <x:is>
          <x:t>uart_reset_rx_phase_test</x:t>
        </x:is>
      </x:c>
      <x:c r="E160" s="30" t="inlineStr">
        <x:is>
          <x:t>High</x:t>
        </x:is>
      </x:c>
      <x:c r="F160" s="30" t="inlineStr">
        <x:is>
          <x:t>Directed</x:t>
        </x:is>
      </x:c>
      <x:c r="G160" s="30"/>
      <x:c r="H160" s="32" t="inlineStr">
        <x:is>
          <x:t xml:space="preserve">Pass</x:t>
        </x:is>
      </x:c>
      <x:c r="I160" s="32" t="inlineStr">
        <x:is>
          <x:t>M4</x:t>
        </x:is>
      </x:c>
      <x:c r="J160" s="30" t="inlineStr">
        <x:is>
          <x:t xml:space="preserve">Spec §2.2.6 defaults and §1.7.2. RX high before restart avoids unspecified break behavior; other reset phase crosses deferred. Scope refined for 150-case plan, 2026-10-24; original case ID/testname retained.
Validation 2026-10-24: PASS, Questa2021.2_1 seed1; completed scenario checks and required scoreboard comparisons.
VIP timing recheck 2026-10-24: PASS after simultaneous TX/RX thread isolation and absolute frame-end deadline fixes; Questa2021.2_1 seed1. No error catcher attached to DUT environment.</x:t>
        </x:is>
      </x:c>
    </x:row>
    <x:row r="161" ht="34" customHeight="1">
      <x:c r="A161" s="24" t="inlineStr">
        <x:is>
          <x:t>11</x:t>
        </x:is>
      </x:c>
      <x:c r="B161" s="25" t="inlineStr">
        <x:is>
          <x:t>Register Isolation and AHB Side Effects</x:t>
        </x:is>
      </x:c>
      <x:c r="C161" s="25"/>
      <x:c r="D161" s="25"/>
      <x:c r="E161" s="25"/>
      <x:c r="F161" s="25"/>
      <x:c r="G161" s="25"/>
      <x:c r="H161" s="25"/>
      <x:c r="I161" s="25"/>
      <x:c r="J161" s="25"/>
    </x:row>
    <x:row r="162" ht="210" customHeight="1">
      <x:c r="A162" s="31" t="inlineStr">
        <x:is>
          <x:t>11.04</x:t>
        </x:is>
      </x:c>
      <x:c r="B162" s="30" t="inlineStr">
        <x:is>
          <x:t>TBR reads preserve TX stream and return zero</x:t>
        </x:is>
      </x:c>
      <x:c r="C162" s="30" t="inlineStr">
        <x:is>
          <x:t>Objective: TBR reads preserve TX stream and return zero.
Setup: Fixed8N1/OSM16; DLL=0x8B, DLH=0x02; enqueue three distinct bytes0x12,0x34,0x56; monitor uart_txd.
Stimulus: Read TBR repeatedly while TX is active and once after all three frames finish; perform no additional TBR writes.
Expected: Every TBR read returns low byte0; reads do not enqueue, consume or replace TX data; original three bytes transmit once in order.
Checker / PASS: Check completed read data under0xFF mask and exact UART output sequence; use one guard frame after last expected frame to catch extra output.
Coverage: TBR read x active/empty TX x fixed-zero readback x no FIFO side effect.</x:t>
        </x:is>
      </x:c>
      <x:c r="D162" s="30" t="inlineStr">
        <x:is>
          <x:t>uart_tbr_read_no_push_test</x:t>
        </x:is>
      </x:c>
      <x:c r="E162" s="30" t="inlineStr">
        <x:is>
          <x:t>High</x:t>
        </x:is>
      </x:c>
      <x:c r="F162" s="30" t="inlineStr">
        <x:is>
          <x:t>Directed</x:t>
        </x:is>
      </x:c>
      <x:c r="G162" s="30"/>
      <x:c r="H162" s="32" t="inlineStr">
        <x:is>
          <x:t>Pass</x:t>
        </x:is>
      </x:c>
      <x:c r="I162" s="32" t="inlineStr">
        <x:is>
          <x:t>M2</x:t>
        </x:is>
      </x:c>
      <x:c r="J162" s="30" t="inlineStr">
        <x:is>
          <x:t>Spec §2.2.7. Covers former1.09 fixed-zero readback inside this one read-side-effect scenario. Scope refined for 150-case plan, 2026-10-24; original case ID/testname retained.
Validation 2026-10-24: PASS, Questa2021.2_1 seed1; completed scenario checks and required scoreboard comparisons.</x:t>
        </x:is>
      </x:c>
    </x:row>
    <x:row r="163" ht="210" customHeight="1">
      <x:c r="A163" s="31" t="inlineStr">
        <x:is>
          <x:t>11.06</x:t>
        </x:is>
      </x:c>
      <x:c r="B163" s="30" t="inlineStr">
        <x:is>
          <x:t>AHB error followed by valid transfer</x:t>
        </x:is>
      </x:c>
      <x:c r="C163" s="30" t="inlineStr">
        <x:is>
          <x:t>Objective: AHB error followed by valid transfer.
Setup: Legal SINGLE word transfers; known RW fields and RX queue; no incoming RX during error sequence.
Stimulus: Alternate reserved read/write at 0x020/0x3FC with valid RW, TBR and RBR transactions; use back-to-back requests respecting ready/error completion.
Expected: Reserved accesses return HRESP error; reads return 0xFFFFFFFF; following legal transfers complete once with correct data and FIFO side effects.
Checker / PASS: AHB protocol monitor checks complete AMBA error sequence, ordering and finite completion; data scoreboard catches phase leakage after errors.
Coverage: ERROR read/write x next transfer read/write x FIFO side effect.</x:t>
        </x:is>
      </x:c>
      <x:c r="D163" s="30" t="inlineStr">
        <x:is>
          <x:t>uart_ahb_error_recovery_test</x:t>
        </x:is>
      </x:c>
      <x:c r="E163" s="30" t="inlineStr">
        <x:is>
          <x:t>High</x:t>
        </x:is>
      </x:c>
      <x:c r="F163" s="30" t="inlineStr">
        <x:is>
          <x:t>Directed</x:t>
        </x:is>
      </x:c>
      <x:c r="G163" s="30"/>
      <x:c r="H163" s="32" t="inlineStr">
        <x:is>
          <x:t xml:space="preserve">Fail</x:t>
        </x:is>
      </x:c>
      <x:c r="I163" s="32" t="inlineStr">
        <x:is>
          <x:t>M1</x:t>
        </x:is>
      </x:c>
      <x:c r="J163" s="30" t="inlineStr">
        <x:is>
          <x:t xml:space="preserve">[Corner] Added 2026-10-24. Spec §1.7.3/§2.2 reserved region; §1.6.1 AMBA3 AHB-Lite error protocol.
Validation 2026-10-24: FAIL, Questa2021.2_1 seed1. Observed address/data/response association mismatch during pipelined accesses; master wait-state stability checks report no violation. Reproducer: uart_ahb_error_recovery_test.
VIP timing recheck 2026-10-24: FAIL after simultaneous TX/RX thread isolation and absolute frame-end deadline fixes; Questa2021.2_1 seed1. No error catcher attached to DUT environment.</x:t>
        </x:is>
      </x:c>
    </x:row>
    <x:row r="164" ht="34" customHeight="1">
      <x:c r="A164" s="24" t="inlineStr">
        <x:is>
          <x:t>13</x:t>
        </x:is>
      </x:c>
      <x:c r="B164" s="25" t="inlineStr">
        <x:is>
          <x:t>Data Patterns and Serial Semantics</x:t>
        </x:is>
      </x:c>
      <x:c r="C164" s="25"/>
      <x:c r="D164" s="25"/>
      <x:c r="E164" s="25"/>
      <x:c r="F164" s="25"/>
      <x:c r="G164" s="25"/>
      <x:c r="H164" s="25"/>
      <x:c r="I164" s="25"/>
      <x:c r="J164" s="25"/>
    </x:row>
    <x:row r="165" ht="210" customHeight="1">
      <x:c r="A165" s="31" t="inlineStr">
        <x:is>
          <x:t>13.01</x:t>
        </x:is>
      </x:c>
      <x:c r="B165" s="30" t="inlineStr">
        <x:is>
          <x:t>TX unused upper bits cannot change 5E1 frame</x:t>
        </x:is>
      </x:c>
      <x:c r="C165" s="30" t="inlineStr">
        <x:is>
          <x:t>Objective: TX unused upper bits cannot change 5E1 frame.
Setup: Fixed5E1/OSM16; MDR=0, DLL=0x36, DLH=0, LCR=0x38; TX initially empty.
Stimulus: Write TBR with HWDATA=0x00000001, then0xFFFF00E1. Low five data bits are identical; unused TBR[7:5] and reserved HWDATA[31:8] differ.
Expected: Both frames transmit five active bits representing0x01, identical correct even parity and one stop bit; no unused bit appears in serial data or parity.
Checker / PASS: Independently compute parity over active five bits; decode exactly two5E1 frames and compare their data, parity and duration.
Coverage: TX x WLS5 x even parity x upper-bit invariance x OSM16.</x:t>
        </x:is>
      </x:c>
      <x:c r="D165" s="30" t="inlineStr">
        <x:is>
          <x:t>uart_tx_upper_data_mask_test</x:t>
        </x:is>
      </x:c>
      <x:c r="E165" s="30" t="inlineStr">
        <x:is>
          <x:t>High</x:t>
        </x:is>
      </x:c>
      <x:c r="F165" s="30" t="inlineStr">
        <x:is>
          <x:t>Directed</x:t>
        </x:is>
      </x:c>
      <x:c r="G165" s="30"/>
      <x:c r="H165" s="32" t="inlineStr">
        <x:is>
          <x:t>Fail</x:t>
        </x:is>
      </x:c>
      <x:c r="I165" s="32" t="inlineStr">
        <x:is>
          <x:t>M2</x:t>
        </x:is>
      </x:c>
      <x:c r="J165" s="30" t="inlineStr">
        <x:is>
          <x:t>Spec §1.6.2;§2.2.4 WLS/PEN/EPS;§2.2.7. Other width/parity/OSM masking crosses deferred. Scope refined for 150-case plan, 2026-10-24; original case ID/testname retained.
Validation 2026-10-24: FAIL, Questa2021.2_1 seed1. Data comparison occurred, but DUT TX parity differs from the active-width even/odd reference. Reset/masking cases also depend on correct TX parity. Reproducer: uart_tx_upper_data_mask_test.</x:t>
        </x:is>
      </x:c>
    </x:row>
    <x:row r="166" ht="34" customHeight="1">
      <x:c r="A166" s="24" t="inlineStr">
        <x:is>
          <x:t>14</x:t>
        </x:is>
      </x:c>
      <x:c r="B166" s="25" t="inlineStr">
        <x:is>
          <x:t>FIFO Wraparound, Concurrent Access and Stress</x:t>
        </x:is>
      </x:c>
      <x:c r="C166" s="25"/>
      <x:c r="D166" s="25"/>
      <x:c r="E166" s="25"/>
      <x:c r="F166" s="25"/>
      <x:c r="G166" s="25"/>
      <x:c r="H166" s="25"/>
      <x:c r="I166" s="25"/>
      <x:c r="J166" s="25"/>
    </x:row>
    <x:row r="167" ht="210" customHeight="1">
      <x:c r="A167" s="31" t="inlineStr">
        <x:is>
          <x:t>14.01</x:t>
        </x:is>
      </x:c>
      <x:c r="B167" s="30" t="inlineStr">
        <x:is>
          <x:t>TX FIFO wraparound, 80-byte stream / 8N1 OSM16</x:t>
        </x:is>
      </x:c>
      <x:c r="C167" s="30" t="inlineStr">
        <x:is>
          <x:t>Objective: TX FIFO wraparound, 80-byte stream / 8N1 OSM16.
Setup: Fixed8N1/OSM16; HCLK=100MHz; DLL=0x36, DLH=0; FIFO initially empty.
Stimulus: Enqueue80 sequence-tagged bytes in batches while polling full before each write; do not write at full; allow TX to drain and refill across repeated pointer wraps.
Expected: All80 accepted bytes transmit exactly once in order; final FIFO is empty; no stale entry reappears after a wrap.
Checker / PASS: Independent AHB enqueue queue vs UART decode; require80 comparisons, final queue empty and a guard frame; do not infer serial idle solely from tx_empty.
Coverage: TX x &gt;4 FIFO pointer laps x 8N1 x OSM16.</x:t>
        </x:is>
      </x:c>
      <x:c r="D167" s="30" t="inlineStr">
        <x:is>
          <x:t>uart_fifo_tx_wraparound_test</x:t>
        </x:is>
      </x:c>
      <x:c r="E167" s="30" t="inlineStr">
        <x:is>
          <x:t>High</x:t>
        </x:is>
      </x:c>
      <x:c r="F167" s="30" t="inlineStr">
        <x:is>
          <x:t>Directed</x:t>
        </x:is>
      </x:c>
      <x:c r="G167" s="30"/>
      <x:c r="H167" s="32" t="inlineStr">
        <x:is>
          <x:t xml:space="preserve">Pass</x:t>
        </x:is>
      </x:c>
      <x:c r="I167" s="32" t="inlineStr">
        <x:is>
          <x:t>M4</x:t>
        </x:is>
      </x:c>
      <x:c r="J167" s="30" t="inlineStr">
        <x:is>
          <x:t xml:space="preserve">Spec §1.2 16-byte FIFO;§1.7.1. Single wraparound scenario, not general random stress. Scope refined for 150-case plan, 2026-10-24; original case ID/testname retained.
Validation 2026-10-24: PASS, Questa2021.2_1 seed1; completed scenario checks and required scoreboard comparisons.
VIP timing recheck 2026-10-24: PASS after simultaneous TX/RX thread isolation and absolute frame-end deadline fixes; Questa2021.2_1 seed1. No error catcher attached to DUT environment.</x:t>
        </x:is>
      </x:c>
    </x:row>
    <x:row r="168" ht="210" customHeight="1">
      <x:c r="A168" s="31" t="inlineStr">
        <x:is>
          <x:t>14.02</x:t>
        </x:is>
      </x:c>
      <x:c r="B168" s="30" t="inlineStr">
        <x:is>
          <x:t>RX FIFO wraparound with partial drains / 8N1 OSM16</x:t>
        </x:is>
      </x:c>
      <x:c r="C168" s="30" t="inlineStr">
        <x:is>
          <x:t>Objective: RX FIFO wraparound with partial drains / 8N1 OSM16.
Setup: Fixed8N1/OSM16; HCLK=100MHz; DLL=0x36, DLH=0; FIFO initially empty.
Stimulus: Send/read80 sequence-tagged bytes using partial drains and refills; bound occupancy0..16 and never overflow; keep configuration unchanged.
Expected: All80 bytes read once in input order through multiple pointer wraps; final rx_empty=1.
Checker / PASS: Independent UART input queue vs completed RBR reads; require80 comparisons; sample occupancy flags only at quiescent receive checkpoints.
Coverage: RX x &gt;4 FIFO pointer laps x partial drain/refill x 8N1 x OSM16.</x:t>
        </x:is>
      </x:c>
      <x:c r="D168" s="30" t="inlineStr">
        <x:is>
          <x:t>uart_fifo_rx_wraparound_test</x:t>
        </x:is>
      </x:c>
      <x:c r="E168" s="30" t="inlineStr">
        <x:is>
          <x:t>High</x:t>
        </x:is>
      </x:c>
      <x:c r="F168" s="30" t="inlineStr">
        <x:is>
          <x:t>Directed</x:t>
        </x:is>
      </x:c>
      <x:c r="G168" s="30"/>
      <x:c r="H168" s="32" t="inlineStr">
        <x:is>
          <x:t xml:space="preserve">Pass</x:t>
        </x:is>
      </x:c>
      <x:c r="I168" s="32" t="inlineStr">
        <x:is>
          <x:t>M4</x:t>
        </x:is>
      </x:c>
      <x:c r="J168" s="30" t="inlineStr">
        <x:is>
          <x:t xml:space="preserve">Spec §1.2/§1.7.2. Single wraparound scenario; no baud, mode or random-seed sweep. Scope refined for 150-case plan, 2026-10-24; original case ID/testname retained.
Validation 2026-10-24: PASS, Questa2021.2_1 seed1; completed scenario checks and required scoreboard comparisons.
VIP timing recheck 2026-10-24: PASS after simultaneous TX/RX thread isolation and absolute frame-end deadline fixes; Questa2021.2_1 seed1. No error catcher attached to DUT environment.</x:t>
        </x:is>
      </x:c>
    </x:row>
    <x:row r="169" ht="34" customHeight="1">
      <x:c r="A169" s="24" t="inlineStr">
        <x:is>
          <x:t>15</x:t>
        </x:is>
      </x:c>
      <x:c r="B169" s="25" t="inlineStr">
        <x:is>
          <x:t>Interrupt Combinations and Runtime Masking</x:t>
        </x:is>
      </x:c>
      <x:c r="C169" s="25"/>
      <x:c r="D169" s="25"/>
      <x:c r="E169" s="25"/>
      <x:c r="F169" s="25"/>
      <x:c r="G169" s="25"/>
      <x:c r="H169" s="25"/>
      <x:c r="I169" s="25"/>
      <x:c r="J169" s="25"/>
    </x:row>
    <x:row r="170" ht="210" customHeight="1">
      <x:c r="A170" s="31" t="inlineStr">
        <x:is>
          <x:t>15.03</x:t>
        </x:is>
      </x:c>
      <x:c r="B170" s="30" t="inlineStr">
        <x:is>
          <x:t>Two empty-FIFO IRQ sources with partial masking</x:t>
        </x:is>
      </x:c>
      <x:c r="C170" s="30" t="inlineStr">
        <x:is>
          <x:t>Objective: Two empty-FIFO IRQ sources with partial masking.
Setup: Reset; BGE=0, no TX writes or RX frames; verify FSR[4:0]=0x0A and IER=0; TX-empty and RX-empty remain stably active.
Stimulus: Write IER=0x0A to enable both empty sources; then IER=0x08 to mask TX-empty only; finally IER=0 to mask the last source.
Expected: IRQ is high with both enabled, remains high with only RX-empty enabled and clears when all sources are masked; FSR remains0x0A.
Checker / PASS: Check completed IER writes, FSR readback and interrupt pin at stable checkpoints; no fixed undocumented response cycle count. Require bounded settling.
Coverage: TX-empty + RX-empty x both/one/no source enabled.</x:t>
        </x:is>
      </x:c>
      <x:c r="D170" s="30" t="inlineStr">
        <x:is>
          <x:t>uart_irq_multisource_or_test</x:t>
        </x:is>
      </x:c>
      <x:c r="E170" s="30" t="inlineStr">
        <x:is>
          <x:t>High</x:t>
        </x:is>
      </x:c>
      <x:c r="F170" s="30" t="inlineStr">
        <x:is>
          <x:t>Directed</x:t>
        </x:is>
      </x:c>
      <x:c r="G170" s="30"/>
      <x:c r="H170" s="32" t="inlineStr">
        <x:is>
          <x:t>Pass</x:t>
        </x:is>
      </x:c>
      <x:c r="I170" s="32" t="inlineStr">
        <x:is>
          <x:t>M4</x:t>
        </x:is>
      </x:c>
      <x:c r="J170" s="30" t="inlineStr">
        <x:is>
          <x:t>Spec §2.2.5–2.2.6; top-level OR confirmed by rtl/uart_top.v. Specific two-source OR scenario; other status combinations and32-mask sweep deferred. Scope refined for 150-case plan, 2026-10-24; original case ID/testname retained.
Validation 2026-10-24: PASS, Questa2021.2_1 seed1; completed scenario checks and required scoreboard comparisons.</x:t>
        </x:is>
      </x:c>
    </x:row>
  </x:sheetData>
  <x:autoFilter ref="A7:J170"/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dimension ref="A1:F45"/>
  <x:sheetViews>
    <x:sheetView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16" customWidth="1"/>
    <x:col min="2" max="2" width="43" customWidth="1"/>
    <x:col min="3" max="3" width="96" customWidth="1"/>
    <x:col min="4" max="4" width="94" customWidth="1"/>
    <x:col min="5" max="5" width="40" customWidth="1"/>
    <x:col min="6" max="6" width="42" customWidth="1"/>
  </x:cols>
  <x:sheetData>
    <x:row r="1" ht="34" customHeight="1">
      <x:c r="A1" s="25" t="inlineStr">
        <x:is>
          <x:t>Nhóm</x:t>
        </x:is>
      </x:c>
      <x:c r="B1" s="25" t="inlineStr">
        <x:is>
          <x:t>Nội dung</x:t>
        </x:is>
      </x:c>
      <x:c r="C1" s="25" t="inlineStr">
        <x:is>
          <x:t>Quyết định / nhận xét</x:t>
        </x:is>
      </x:c>
      <x:c r="D1" s="25" t="inlineStr">
        <x:is>
          <x:t>Cách kiểm tra / phạm vi</x:t>
        </x:is>
      </x:c>
      <x:c r="E1" s="25" t="inlineStr">
        <x:is>
          <x:t>Căn cứ</x:t>
        </x:is>
      </x:c>
      <x:c r="F1" s="25" t="inlineStr">
        <x:is>
          <x:t>Case ID</x:t>
        </x:is>
      </x:c>
    </x:row>
    <x:row r="2" ht="125" customHeight="1">
      <x:c r="A2" s="17" t="inlineStr">
        <x:is>
          <x:t>Kế hoạch</x:t>
        </x:is>
      </x:c>
      <x:c r="B2" s="17" t="inlineStr">
        <x:is>
          <x:t>150 testcase đang áp dụng</x:t>
        </x:is>
      </x:c>
      <x:c r="C2" s="17" t="inlineStr">
        <x:is>
          <x:t>Vplan có đúng150 testcase:96 format TX/RX và54 case chức năng/corner khác; giảm56 so với bản206 trước đó.</x:t>
        </x:is>
      </x:c>
      <x:c r="D2" s="17" t="inlineStr">
        <x:is>
          <x:t>Chỉ sheet Vplan được tính vào bộ đếm và regression chính. Deferred Cases lưu lại56 mục tham khảo, không phải test cần chạy trong kế hoạch150.</x:t>
        </x:is>
      </x:c>
      <x:c r="E2" s="17" t="inlineStr">
        <x:is>
          <x:t>Rà soát24/10/2026</x:t>
        </x:is>
      </x:c>
      <x:c r="F2" s="17" t="inlineStr">
        <x:is>
          <x:t/>
        </x:is>
      </x:c>
    </x:row>
    <x:row r="3" ht="125" customHeight="1">
      <x:c r="A3" s="17" t="inlineStr">
        <x:is>
          <x:t>Quy tắc</x:t>
        </x:is>
      </x:c>
      <x:c r="B3" s="17" t="inlineStr">
        <x:is>
          <x:t>Một tình huống chính trong mỗi testcase</x:t>
        </x:is>
      </x:c>
      <x:c r="C3" s="17" t="inlineStr">
        <x:is>
          <x:t>Giữ một điều kiện trọng tâm và cấu hình cụ thể. Một scenario có thể cần setup/recovery và nhiều assertion để xác nhận cùng một hành vi.</x:t>
        </x:is>
      </x:c>
      <x:c r="D3" s="17" t="inlineStr">
        <x:is>
          <x:t>Không tạo test đa chức năng chỉ để giảm số dòng; nhiều byte/address trong cùng một property không được hiểu là nhiều format hay nhiều tình huống khác nhau.</x:t>
        </x:is>
      </x:c>
      <x:c r="E3" s="17" t="inlineStr">
        <x:is>
          <x:t/>
        </x:is>
      </x:c>
      <x:c r="F3" s="17" t="inlineStr">
        <x:is>
          <x:t/>
        </x:is>
      </x:c>
    </x:row>
    <x:row r="4" ht="125" customHeight="1">
      <x:c r="A4" s="17" t="inlineStr">
        <x:is>
          <x:t>Quy tắc</x:t>
        </x:is>
      </x:c>
      <x:c r="B4" s="17" t="inlineStr">
        <x:is>
          <x:t>Giữ ID và testname</x:t>
        </x:is>
      </x:c>
      <x:c r="C4" s="17" t="inlineStr">
        <x:is>
          <x:t>150 case giữ ID/testname trước đó để trace tài liệu. Khoảng trống ID sau khi chuyển case sang Deferred là có chủ ý.</x:t>
        </x:is>
      </x:c>
      <x:c r="D4" s="17" t="inlineStr">
        <x:is>
          <x:t xml:space="preserve">Title/Description được giới hạn vào từng scenario cụ thể; đã triển khai class/file UVM riêng cho đủ150 testname. Base smoke và VIP infrastructure self-check không tính vào150 active.</x:t>
        </x:is>
      </x:c>
      <x:c r="E4" s="17" t="inlineStr">
        <x:is>
          <x:t/>
        </x:is>
      </x:c>
      <x:c r="F4" s="17" t="inlineStr">
        <x:is>
          <x:t/>
        </x:is>
      </x:c>
    </x:row>
    <x:row r="5" ht="125" customHeight="1">
      <x:c r="A5" s="17" t="inlineStr">
        <x:is>
          <x:t>Trạng thái</x:t>
        </x:is>
      </x:c>
      <x:c r="B5" s="17" t="inlineStr">
        <x:is>
          <x:t xml:space="preserve">Baseline150 test và kiểm tra chọn lọc sau sửa VIP</x:t>
        </x:is>
      </x:c>
      <x:c r="C5" s="17" t="inlineStr">
        <x:is>
          <x:t xml:space="preserve">Baseline150 test active seed1:107 Pass,43 Fail,0 NY. Sau sửa timing monitor, rerun chọn lọc22 active:15 Pass,7 Fail; base smoke PASS riêng.128 test còn lại giữ kết quả baseline, chưa rerun với source VIP mới.13 Pending spec ở Deferred Cases.</x:t>
        </x:is>
      </x:c>
      <x:c r="D5" s="17" t="inlineStr">
        <x:is>
          <x:t>128/150 testcase có so sánh dữ liệu DUT trong scoreboard (TX pin và/hoặc RBR). Compile0 errors/0 warnings. Kết quả là quan sát DUT hiện tại; chưa đạt passing rate100%.</x:t>
        </x:is>
      </x:c>
      <x:c r="E5" s="17" t="inlineStr">
        <x:is>
          <x:t/>
        </x:is>
      </x:c>
      <x:c r="F5" s="17" t="inlineStr">
        <x:is>
          <x:t/>
        </x:is>
      </x:c>
    </x:row>
    <x:row r="6" ht="125" customHeight="1">
      <x:c r="A6" s="17" t="inlineStr">
        <x:is>
          <x:t>Phân bổ</x:t>
        </x:is>
      </x:c>
      <x:c r="B6" s="17" t="inlineStr">
        <x:is>
          <x:t>Register Verification</x:t>
        </x:is>
      </x:c>
      <x:c r="C6" s="17" t="inlineStr">
        <x:is>
          <x:t>10 testcase trong kế hoạch chính.</x:t>
        </x:is>
      </x:c>
      <x:c r="D6" s="17" t="inlineStr">
        <x:is>
          <x:t>Xem stimulus, expected, checker và coverage riêng trong Vplan.</x:t>
        </x:is>
      </x:c>
      <x:c r="E6" s="17" t="inlineStr">
        <x:is>
          <x:t>Spec v2.0</x:t>
        </x:is>
      </x:c>
      <x:c r="F6" s="17" t="inlineStr">
        <x:is>
          <x:t>Section1</x:t>
        </x:is>
      </x:c>
    </x:row>
    <x:row r="7" ht="125" customHeight="1">
      <x:c r="A7" s="17" t="inlineStr">
        <x:is>
          <x:t>Phân bổ</x:t>
        </x:is>
      </x:c>
      <x:c r="B7" s="17" t="inlineStr">
        <x:is>
          <x:t>AHB-Lite Interface Verification</x:t>
        </x:is>
      </x:c>
      <x:c r="C7" s="17" t="inlineStr">
        <x:is>
          <x:t>4 testcase trong kế hoạch chính.</x:t>
        </x:is>
      </x:c>
      <x:c r="D7" s="17" t="inlineStr">
        <x:is>
          <x:t>Xem stimulus, expected, checker và coverage riêng trong Vplan.</x:t>
        </x:is>
      </x:c>
      <x:c r="E7" s="17" t="inlineStr">
        <x:is>
          <x:t>Spec v2.0</x:t>
        </x:is>
      </x:c>
      <x:c r="F7" s="17" t="inlineStr">
        <x:is>
          <x:t>Section2</x:t>
        </x:is>
      </x:c>
    </x:row>
    <x:row r="8" ht="125" customHeight="1">
      <x:c r="A8" s="17" t="inlineStr">
        <x:is>
          <x:t>Phân bổ</x:t>
        </x:is>
      </x:c>
      <x:c r="B8" s="17" t="inlineStr">
        <x:is>
          <x:t>Baud Generator Verification</x:t>
        </x:is>
      </x:c>
      <x:c r="C8" s="17" t="inlineStr">
        <x:is>
          <x:t>4 testcase trong kế hoạch chính.</x:t>
        </x:is>
      </x:c>
      <x:c r="D8" s="17" t="inlineStr">
        <x:is>
          <x:t>Xem stimulus, expected, checker và coverage riêng trong Vplan.</x:t>
        </x:is>
      </x:c>
      <x:c r="E8" s="17" t="inlineStr">
        <x:is>
          <x:t>Spec v2.0</x:t>
        </x:is>
      </x:c>
      <x:c r="F8" s="17" t="inlineStr">
        <x:is>
          <x:t>Section3</x:t>
        </x:is>
      </x:c>
    </x:row>
    <x:row r="9" ht="125" customHeight="1">
      <x:c r="A9" s="17" t="inlineStr">
        <x:is>
          <x:t>Phân bổ</x:t>
        </x:is>
      </x:c>
      <x:c r="B9" s="17" t="inlineStr">
        <x:is>
          <x:t>UART Transmit Verification</x:t>
        </x:is>
      </x:c>
      <x:c r="C9" s="17" t="inlineStr">
        <x:is>
          <x:t>51 testcase trong kế hoạch chính.</x:t>
        </x:is>
      </x:c>
      <x:c r="D9" s="17" t="inlineStr">
        <x:is>
          <x:t>Xem stimulus, expected, checker và coverage riêng trong Vplan.</x:t>
        </x:is>
      </x:c>
      <x:c r="E9" s="17" t="inlineStr">
        <x:is>
          <x:t>Spec v2.0</x:t>
        </x:is>
      </x:c>
      <x:c r="F9" s="17" t="inlineStr">
        <x:is>
          <x:t>Section4</x:t>
        </x:is>
      </x:c>
    </x:row>
    <x:row r="10" ht="125" customHeight="1">
      <x:c r="A10" s="17" t="inlineStr">
        <x:is>
          <x:t>Phân bổ</x:t>
        </x:is>
      </x:c>
      <x:c r="B10" s="17" t="inlineStr">
        <x:is>
          <x:t>UART Receive Verification</x:t>
        </x:is>
      </x:c>
      <x:c r="C10" s="17" t="inlineStr">
        <x:is>
          <x:t>51 testcase trong kế hoạch chính.</x:t>
        </x:is>
      </x:c>
      <x:c r="D10" s="17" t="inlineStr">
        <x:is>
          <x:t>Xem stimulus, expected, checker và coverage riêng trong Vplan.</x:t>
        </x:is>
      </x:c>
      <x:c r="E10" s="17" t="inlineStr">
        <x:is>
          <x:t>Spec v2.0</x:t>
        </x:is>
      </x:c>
      <x:c r="F10" s="17" t="inlineStr">
        <x:is>
          <x:t>Section5</x:t>
        </x:is>
      </x:c>
    </x:row>
    <x:row r="11" ht="125" customHeight="1">
      <x:c r="A11" s="17" t="inlineStr">
        <x:is>
          <x:t>Phân bổ</x:t>
        </x:is>
      </x:c>
      <x:c r="B11" s="17" t="inlineStr">
        <x:is>
          <x:t>FIFO Verification</x:t>
        </x:is>
      </x:c>
      <x:c r="C11" s="17" t="inlineStr">
        <x:is>
          <x:t>7 testcase trong kế hoạch chính.</x:t>
        </x:is>
      </x:c>
      <x:c r="D11" s="17" t="inlineStr">
        <x:is>
          <x:t>Xem stimulus, expected, checker và coverage riêng trong Vplan.</x:t>
        </x:is>
      </x:c>
      <x:c r="E11" s="17" t="inlineStr">
        <x:is>
          <x:t>Spec v2.0</x:t>
        </x:is>
      </x:c>
      <x:c r="F11" s="17" t="inlineStr">
        <x:is>
          <x:t>Section6</x:t>
        </x:is>
      </x:c>
    </x:row>
    <x:row r="12" ht="125" customHeight="1">
      <x:c r="A12" s="17" t="inlineStr">
        <x:is>
          <x:t>Phân bổ</x:t>
        </x:is>
      </x:c>
      <x:c r="B12" s="17" t="inlineStr">
        <x:is>
          <x:t>Interrupt Verification</x:t>
        </x:is>
      </x:c>
      <x:c r="C12" s="17" t="inlineStr">
        <x:is>
          <x:t>10 testcase trong kế hoạch chính.</x:t>
        </x:is>
      </x:c>
      <x:c r="D12" s="17" t="inlineStr">
        <x:is>
          <x:t>Xem stimulus, expected, checker và coverage riêng trong Vplan.</x:t>
        </x:is>
      </x:c>
      <x:c r="E12" s="17" t="inlineStr">
        <x:is>
          <x:t>Spec v2.0</x:t>
        </x:is>
      </x:c>
      <x:c r="F12" s="17" t="inlineStr">
        <x:is>
          <x:t>Section7</x:t>
        </x:is>
      </x:c>
    </x:row>
    <x:row r="13" ht="125" customHeight="1">
      <x:c r="A13" s="17" t="inlineStr">
        <x:is>
          <x:t>Phân bổ</x:t>
        </x:is>
      </x:c>
      <x:c r="B13" s="17" t="inlineStr">
        <x:is>
          <x:t>Parity Error Verification</x:t>
        </x:is>
      </x:c>
      <x:c r="C13" s="17" t="inlineStr">
        <x:is>
          <x:t>5 testcase trong kế hoạch chính.</x:t>
        </x:is>
      </x:c>
      <x:c r="D13" s="17" t="inlineStr">
        <x:is>
          <x:t>Xem stimulus, expected, checker và coverage riêng trong Vplan.</x:t>
        </x:is>
      </x:c>
      <x:c r="E13" s="17" t="inlineStr">
        <x:is>
          <x:t>Spec v2.0</x:t>
        </x:is>
      </x:c>
      <x:c r="F13" s="17" t="inlineStr">
        <x:is>
          <x:t>Section8</x:t>
        </x:is>
      </x:c>
    </x:row>
    <x:row r="14" ht="125" customHeight="1">
      <x:c r="A14" s="17" t="inlineStr">
        <x:is>
          <x:t>Phân bổ</x:t>
        </x:is>
      </x:c>
      <x:c r="B14" s="17" t="inlineStr">
        <x:is>
          <x:t>Reset During Activity and Recovery</x:t>
        </x:is>
      </x:c>
      <x:c r="C14" s="17" t="inlineStr">
        <x:is>
          <x:t>2 testcase trong kế hoạch chính.</x:t>
        </x:is>
      </x:c>
      <x:c r="D14" s="17" t="inlineStr">
        <x:is>
          <x:t>Xem stimulus, expected, checker và coverage riêng trong Vplan.</x:t>
        </x:is>
      </x:c>
      <x:c r="E14" s="17" t="inlineStr">
        <x:is>
          <x:t>Spec v2.0</x:t>
        </x:is>
      </x:c>
      <x:c r="F14" s="17" t="inlineStr">
        <x:is>
          <x:t>Section10</x:t>
        </x:is>
      </x:c>
    </x:row>
    <x:row r="15" ht="125" customHeight="1">
      <x:c r="A15" s="17" t="inlineStr">
        <x:is>
          <x:t>Phân bổ</x:t>
        </x:is>
      </x:c>
      <x:c r="B15" s="17" t="inlineStr">
        <x:is>
          <x:t>Register Isolation and AHB Side Effects</x:t>
        </x:is>
      </x:c>
      <x:c r="C15" s="17" t="inlineStr">
        <x:is>
          <x:t>2 testcase trong kế hoạch chính.</x:t>
        </x:is>
      </x:c>
      <x:c r="D15" s="17" t="inlineStr">
        <x:is>
          <x:t>Xem stimulus, expected, checker và coverage riêng trong Vplan.</x:t>
        </x:is>
      </x:c>
      <x:c r="E15" s="17" t="inlineStr">
        <x:is>
          <x:t>Spec v2.0</x:t>
        </x:is>
      </x:c>
      <x:c r="F15" s="17" t="inlineStr">
        <x:is>
          <x:t>Section11</x:t>
        </x:is>
      </x:c>
    </x:row>
    <x:row r="16" ht="125" customHeight="1">
      <x:c r="A16" s="17" t="inlineStr">
        <x:is>
          <x:t>Phân bổ</x:t>
        </x:is>
      </x:c>
      <x:c r="B16" s="17" t="inlineStr">
        <x:is>
          <x:t>Data Patterns and Serial Semantics</x:t>
        </x:is>
      </x:c>
      <x:c r="C16" s="17" t="inlineStr">
        <x:is>
          <x:t>1 testcase trong kế hoạch chính.</x:t>
        </x:is>
      </x:c>
      <x:c r="D16" s="17" t="inlineStr">
        <x:is>
          <x:t>Xem stimulus, expected, checker và coverage riêng trong Vplan.</x:t>
        </x:is>
      </x:c>
      <x:c r="E16" s="17" t="inlineStr">
        <x:is>
          <x:t>Spec v2.0</x:t>
        </x:is>
      </x:c>
      <x:c r="F16" s="17" t="inlineStr">
        <x:is>
          <x:t>Section13</x:t>
        </x:is>
      </x:c>
    </x:row>
    <x:row r="17" ht="125" customHeight="1">
      <x:c r="A17" s="17" t="inlineStr">
        <x:is>
          <x:t>Phân bổ</x:t>
        </x:is>
      </x:c>
      <x:c r="B17" s="17" t="inlineStr">
        <x:is>
          <x:t>FIFO Wraparound, Concurrent Access and Stress</x:t>
        </x:is>
      </x:c>
      <x:c r="C17" s="17" t="inlineStr">
        <x:is>
          <x:t>2 testcase trong kế hoạch chính.</x:t>
        </x:is>
      </x:c>
      <x:c r="D17" s="17" t="inlineStr">
        <x:is>
          <x:t>Xem stimulus, expected, checker và coverage riêng trong Vplan.</x:t>
        </x:is>
      </x:c>
      <x:c r="E17" s="17" t="inlineStr">
        <x:is>
          <x:t>Spec v2.0</x:t>
        </x:is>
      </x:c>
      <x:c r="F17" s="17" t="inlineStr">
        <x:is>
          <x:t>Section14</x:t>
        </x:is>
      </x:c>
    </x:row>
    <x:row r="18" ht="125" customHeight="1">
      <x:c r="A18" s="17" t="inlineStr">
        <x:is>
          <x:t>Phân bổ</x:t>
        </x:is>
      </x:c>
      <x:c r="B18" s="17" t="inlineStr">
        <x:is>
          <x:t>Interrupt Combinations and Runtime Masking</x:t>
        </x:is>
      </x:c>
      <x:c r="C18" s="17" t="inlineStr">
        <x:is>
          <x:t>1 testcase trong kế hoạch chính.</x:t>
        </x:is>
      </x:c>
      <x:c r="D18" s="17" t="inlineStr">
        <x:is>
          <x:t>Xem stimulus, expected, checker và coverage riêng trong Vplan.</x:t>
        </x:is>
      </x:c>
      <x:c r="E18" s="17" t="inlineStr">
        <x:is>
          <x:t>Spec v2.0</x:t>
        </x:is>
      </x:c>
      <x:c r="F18" s="17" t="inlineStr">
        <x:is>
          <x:t>Section15</x:t>
        </x:is>
      </x:c>
    </x:row>
    <x:row r="19" ht="125" customHeight="1">
      <x:c r="A19" s="17" t="inlineStr">
        <x:is>
          <x:t>Đã giữ</x:t>
        </x:is>
      </x:c>
      <x:c r="B19" s="17" t="inlineStr">
        <x:is>
          <x:t>Ma trận format đầy đủ</x:t>
        </x:is>
      </x:c>
      <x:c r="C19" s="17" t="inlineStr">
        <x:is>
          <x:t>48 TX và48 RX, mỗi dòng một cấu hình WLS/parity/STB/OSM cố định; không cắt tổ hợp để đạt150.</x:t>
        </x:is>
      </x:c>
      <x:c r="D19" s="17" t="inlineStr">
        <x:is>
          <x:t>4 độ dài x3 parity modes x2 stop counts x2 OSM x2 directions=96 cases. Baud và payload được xác định trong từng dòng.</x:t>
        </x:is>
      </x:c>
      <x:c r="E19" s="17" t="inlineStr">
        <x:is>
          <x:t>Spec §1.6.2;§2.2.4</x:t>
        </x:is>
      </x:c>
      <x:c r="F19" s="17" t="inlineStr">
        <x:is>
          <x:t>4.01–4.48;5.01–5.48</x:t>
        </x:is>
      </x:c>
    </x:row>
    <x:row r="20" ht="125" customHeight="1">
      <x:c r="A20" s="17" t="inlineStr">
        <x:is>
          <x:t>Đã giữ</x:t>
        </x:is>
      </x:c>
      <x:c r="B20" s="17" t="inlineStr">
        <x:is>
          <x:t>Baud và divisor</x:t>
        </x:is>
      </x:c>
      <x:c r="C20" s="17" t="inlineStr">
        <x:is>
          <x:t>9600 ở cả OSM;115200 được đo trong format8N1; biên min divisor1/OSM13 và max65535/OSM16.</x:t>
        </x:is>
      </x:c>
      <x:c r="D20" s="17" t="inlineStr">
        <x:is>
          <x:t>3.15/3.16 được nâng High. Chỉ kiểm tra TX ở hai tổ hợp biên cụ thể; không tuyên bố đã kiểm tra RX tại biên hoặc hai tổ hợp biên/OSM còn lại.</x:t>
        </x:is>
      </x:c>
      <x:c r="E20" s="17" t="inlineStr">
        <x:is>
          <x:t>Spec §1.5</x:t>
        </x:is>
      </x:c>
      <x:c r="F20" s="17" t="inlineStr">
        <x:is>
          <x:t>3.03;3.10;3.15;3.16;4.37;4.38</x:t>
        </x:is>
      </x:c>
    </x:row>
    <x:row r="21" ht="125" customHeight="1">
      <x:c r="A21" s="17" t="inlineStr">
        <x:is>
          <x:t>Đã giữ</x:t>
        </x:is>
      </x:c>
      <x:c r="B21" s="17" t="inlineStr">
        <x:is>
          <x:t>Corner cases trọng tâm</x:t>
        </x:is>
      </x:c>
      <x:c r="C21" s="17" t="inlineStr">
        <x:is>
          <x:t>TX/RX reset giữa data bit3, TX/RX FIFO wraparound, TX-full write ignore, RX empty-read, TX upper-bit masking và IRQ hai nguồn.</x:t>
        </x:is>
      </x:c>
      <x:c r="D21" s="17" t="inlineStr">
        <x:is>
          <x:t>Mỗi case mới được giới hạn vào một scenario cụ thể; các pha/mode khác cần kế hoạch mở rộng.</x:t>
        </x:is>
      </x:c>
      <x:c r="E21" s="17" t="inlineStr">
        <x:is>
          <x:t>Spec §1.2;§1.7;§2.2</x:t>
        </x:is>
      </x:c>
      <x:c r="F21" s="17" t="inlineStr">
        <x:is>
          <x:t>10.02;10.03;13.01;14.01;14.02;15.03</x:t>
        </x:is>
      </x:c>
    </x:row>
    <x:row r="22" ht="125" customHeight="1">
      <x:c r="A22" s="17" t="inlineStr">
        <x:is>
          <x:t>Checker chung</x:t>
        </x:is>
      </x:c>
      <x:c r="B22" s="17" t="inlineStr">
        <x:is>
          <x:t>AHB SINGLE word và wait state</x:t>
        </x:is>
      </x:c>
      <x:c r="C22" s="17" t="inlineStr">
        <x:is>
          <x:t>Bỏ4 testcase bus cơ bản riêng; vẫn bắt buộc kiểm tra bus trên mọi AHB transaction của các test giữ lại.</x:t>
        </x:is>
      </x:c>
      <x:c r="D22" s="17" t="inlineStr">
        <x:is>
          <x:t>Checker/monitor phải tái dựng address/data phase, giữ controls/data qua HREADYOUT-low thực, kiểm tra HRESP và exactly-once side effect.2.08/11.06 phải ghi nhận wait cycles READ/WRITE thực; không force output, không đánh dấu coverage chưa quan sát là hit.</x:t>
        </x:is>
      </x:c>
      <x:c r="E22" s="17" t="inlineStr">
        <x:is>
          <x:t>Spec §1.6.1 AHB-Lite</x:t>
        </x:is>
      </x:c>
      <x:c r="F22" s="17" t="inlineStr">
        <x:is>
          <x:t>2.08;11.06;all AHB accesses</x:t>
        </x:is>
      </x:c>
    </x:row>
    <x:row r="23" ht="125" customHeight="1">
      <x:c r="A23" s="17" t="inlineStr">
        <x:is>
          <x:t>Phân biệt</x:t>
        </x:is>
      </x:c>
      <x:c r="B23" s="17" t="inlineStr">
        <x:is>
          <x:t>RX ordering và RX minimum-gap</x:t>
        </x:is>
      </x:c>
      <x:c r="C23" s="17" t="inlineStr">
        <x:is>
          <x:t>Giữ6.09 và5.51 vì điều kiện timing khác nhau.</x:t>
        </x:is>
      </x:c>
      <x:c r="D23" s="17" t="inlineStr">
        <x:is>
          <x:t>6.09:8N1/16x, có thêm idle-high bit;5.51:8N1/13x, không có idle phụ. Cả hai tích lũy4 byte rồi drain; chưa test minimum-gap ở mọi format.</x:t>
        </x:is>
      </x:c>
      <x:c r="E23" s="17" t="inlineStr">
        <x:is>
          <x:t>Spec §1.6.2;§1.7.2</x:t>
        </x:is>
      </x:c>
      <x:c r="F23" s="17" t="inlineStr">
        <x:is>
          <x:t>5.51;6.09</x:t>
        </x:is>
      </x:c>
    </x:row>
    <x:row r="24" ht="125" customHeight="1">
      <x:c r="A24" s="17" t="inlineStr">
        <x:is>
          <x:t>Đưa ra ngoài</x:t>
        </x:is>
      </x:c>
      <x:c r="B24" s="17" t="inlineStr">
        <x:is>
          <x:t>Covered elsewhere</x:t>
        </x:is>
      </x:c>
      <x:c r="C24" s="17" t="inlineStr">
        <x:is>
          <x:t>6 testcase chuyển sang Deferred Cases.</x:t>
        </x:is>
      </x:c>
      <x:c r="D24" s="17" t="inlineStr">
        <x:is>
          <x:t>Mỗi mục có Original ID/testname/description/status và lý do riêng. Covered elsewhere khác Deferred advanced: mục hoãn có thể vẫn là khoảng trống coverage.</x:t>
        </x:is>
      </x:c>
      <x:c r="E24" s="17" t="inlineStr">
        <x:is>
          <x:t/>
        </x:is>
      </x:c>
      <x:c r="F24" s="17" t="inlineStr">
        <x:is>
          <x:t/>
        </x:is>
      </x:c>
    </x:row>
    <x:row r="25" ht="125" customHeight="1">
      <x:c r="A25" s="17" t="inlineStr">
        <x:is>
          <x:t>Đưa ra ngoài</x:t>
        </x:is>
      </x:c>
      <x:c r="B25" s="17" t="inlineStr">
        <x:is>
          <x:t>Common checker</x:t>
        </x:is>
      </x:c>
      <x:c r="C25" s="17" t="inlineStr">
        <x:is>
          <x:t>4 testcase chuyển sang Deferred Cases.</x:t>
        </x:is>
      </x:c>
      <x:c r="D25" s="17" t="inlineStr">
        <x:is>
          <x:t>Mỗi mục có Original ID/testname/description/status và lý do riêng. Covered elsewhere khác Deferred advanced: mục hoãn có thể vẫn là khoảng trống coverage.</x:t>
        </x:is>
      </x:c>
      <x:c r="E25" s="17" t="inlineStr">
        <x:is>
          <x:t/>
        </x:is>
      </x:c>
      <x:c r="F25" s="17" t="inlineStr">
        <x:is>
          <x:t/>
        </x:is>
      </x:c>
    </x:row>
    <x:row r="26" ht="125" customHeight="1">
      <x:c r="A26" s="17" t="inlineStr">
        <x:is>
          <x:t>Đưa ra ngoài</x:t>
        </x:is>
      </x:c>
      <x:c r="B26" s="17" t="inlineStr">
        <x:is>
          <x:t>Deferred baud example</x:t>
        </x:is>
      </x:c>
      <x:c r="C26" s="17" t="inlineStr">
        <x:is>
          <x:t>10 testcase chuyển sang Deferred Cases.</x:t>
        </x:is>
      </x:c>
      <x:c r="D26" s="17" t="inlineStr">
        <x:is>
          <x:t>Mỗi mục có Original ID/testname/description/status và lý do riêng. Covered elsewhere khác Deferred advanced: mục hoãn có thể vẫn là khoảng trống coverage.</x:t>
        </x:is>
      </x:c>
      <x:c r="E26" s="17" t="inlineStr">
        <x:is>
          <x:t/>
        </x:is>
      </x:c>
      <x:c r="F26" s="17" t="inlineStr">
        <x:is>
          <x:t/>
        </x:is>
      </x:c>
    </x:row>
    <x:row r="27" ht="125" customHeight="1">
      <x:c r="A27" s="17" t="inlineStr">
        <x:is>
          <x:t>Đưa ra ngoài</x:t>
        </x:is>
      </x:c>
      <x:c r="B27" s="17" t="inlineStr">
        <x:is>
          <x:t>Pending spec</x:t>
        </x:is>
      </x:c>
      <x:c r="C27" s="17" t="inlineStr">
        <x:is>
          <x:t>13 testcase chuyển sang Deferred Cases.</x:t>
        </x:is>
      </x:c>
      <x:c r="D27" s="17" t="inlineStr">
        <x:is>
          <x:t>Mỗi mục có Original ID/testname/description/status và lý do riêng. Covered elsewhere khác Deferred advanced: mục hoãn có thể vẫn là khoảng trống coverage.</x:t>
        </x:is>
      </x:c>
      <x:c r="E27" s="17" t="inlineStr">
        <x:is>
          <x:t/>
        </x:is>
      </x:c>
      <x:c r="F27" s="17" t="inlineStr">
        <x:is>
          <x:t/>
        </x:is>
      </x:c>
    </x:row>
    <x:row r="28" ht="125" customHeight="1">
      <x:c r="A28" s="17" t="inlineStr">
        <x:is>
          <x:t>Đưa ra ngoài</x:t>
        </x:is>
      </x:c>
      <x:c r="B28" s="17" t="inlineStr">
        <x:is>
          <x:t>Deferred advanced</x:t>
        </x:is>
      </x:c>
      <x:c r="C28" s="17" t="inlineStr">
        <x:is>
          <x:t>23 testcase chuyển sang Deferred Cases.</x:t>
        </x:is>
      </x:c>
      <x:c r="D28" s="17" t="inlineStr">
        <x:is>
          <x:t>Mỗi mục có Original ID/testname/description/status và lý do riêng. Covered elsewhere khác Deferred advanced: mục hoãn có thể vẫn là khoảng trống coverage.</x:t>
        </x:is>
      </x:c>
      <x:c r="E28" s="17" t="inlineStr">
        <x:is>
          <x:t/>
        </x:is>
      </x:c>
      <x:c r="F28" s="17" t="inlineStr">
        <x:is>
          <x:t/>
        </x:is>
      </x:c>
    </x:row>
    <x:row r="29" ht="125" customHeight="1">
      <x:c r="A29" s="17" t="inlineStr">
        <x:is>
          <x:t>Khoảng trống</x:t>
        </x:is>
      </x:c>
      <x:c r="B29" s="17" t="inlineStr">
        <x:is>
          <x:t>Các tình huống hợp lệ bị hoãn</x:t>
        </x:is>
      </x:c>
      <x:c r="C29" s="17" t="inlineStr">
        <x:is>
          <x:t>Ví dụ: reset với FIFO còn nhiều dữ liệu hoặc IRQ đang bật; divisor carry0x00FF/0x0100; đổi cấu hình khi idle; EPS không tác động TX khi PEN=0; parity bit0/1 cho mọi format.</x:t>
        </x:is>
      </x:c>
      <x:c r="D29" s="17" t="inlineStr">
        <x:is>
          <x:t>Các yêu cầu/hành vi chưa được kiểm tra đầy đủ chỉ vì giữ150 case. Ghi nhận để mở rộng khi có thời gian; không kết luận coverage100% từ số lượng testcase.</x:t>
        </x:is>
      </x:c>
      <x:c r="E29" s="17" t="inlineStr">
        <x:is>
          <x:t>Deferred advanced</x:t>
        </x:is>
      </x:c>
      <x:c r="F29" s="17" t="inlineStr">
        <x:is>
          <x:t>10.04–10.05;12.02–12.03;13.03–13.04</x:t>
        </x:is>
      </x:c>
    </x:row>
    <x:row r="30" ht="125" customHeight="1">
      <x:c r="A30" s="17" t="inlineStr">
        <x:is>
          <x:t>Khoảng trống</x:t>
        </x:is>
      </x:c>
      <x:c r="B30" s="17" t="inlineStr">
        <x:is>
          <x:t>Timing và stress mở rộng</x:t>
        </x:is>
      </x:c>
      <x:c r="C30" s="17" t="inlineStr">
        <x:is>
          <x:t>RX async phase sweep, FIFO same-cycle push/pop, random stress dài, parity mismatch across-format và các nominal baud bổ sung nằm ngoài kế hoạch chính.</x:t>
        </x:is>
      </x:c>
      <x:c r="D30" s="17" t="inlineStr">
        <x:is>
          <x:t>Giữ directed tests quan trọng, nhưng không coi chúng thay thế hoàn toàn stress/phase/collision tests.</x:t>
        </x:is>
      </x:c>
      <x:c r="E30" s="17" t="inlineStr">
        <x:is>
          <x:t>Deferred Cases</x:t>
        </x:is>
      </x:c>
      <x:c r="F30" s="17" t="inlineStr">
        <x:is>
          <x:t>12.04;14.03–14.06;16.01;extra baud cases</x:t>
        </x:is>
      </x:c>
    </x:row>
    <x:row r="31" ht="125" customHeight="1">
      <x:c r="A31" s="17" t="inlineStr">
        <x:is>
          <x:t>Spec chưa rõ</x:t>
        </x:is>
      </x:c>
      <x:c r="B31" s="17" t="inlineStr">
        <x:is>
          <x:t>13 mục Pending spec</x:t>
        </x:is>
      </x:c>
      <x:c r="C31" s="17" t="inlineStr">
        <x:is>
          <x:t>Ba full-duplex architectural scenarios và10 exploratory scenarios được lưu ở Deferred Cases.</x:t>
        </x:is>
      </x:c>
      <x:c r="D31" s="17" t="inlineStr">
        <x:is>
          <x:t>Không dùng các mục này làm tiêu chí fail DUT trước khi thống nhất expected. Chuyển lại vào active chỉ khi có yêu cầu xác nhận.</x:t>
        </x:is>
      </x:c>
      <x:c r="E31" s="17" t="inlineStr">
        <x:is>
          <x:t>Spec §1.3;§1.7;§2.2</x:t>
        </x:is>
      </x:c>
      <x:c r="F31" s="17" t="inlineStr">
        <x:is>
          <x:t>9.01–9.03;17.01–17.10</x:t>
        </x:is>
      </x:c>
    </x:row>
    <x:row r="32" ht="125" customHeight="1">
      <x:c r="A32" s="17" t="inlineStr">
        <x:is>
          <x:t>Checker dữ liệu</x:t>
        </x:is>
      </x:c>
      <x:c r="B32" s="17" t="inlineStr">
        <x:is>
          <x:t>RBR/FSR và reserved bits</x:t>
        </x:is>
      </x:c>
      <x:c r="C32" s="17" t="inlineStr">
        <x:is>
          <x:t>RX WLS5/6/7 chỉ so active data bits. RBR empty/reset data không được gán expected cố định; reserved bits trong register không buộc đọc0.</x:t>
        </x:is>
      </x:c>
      <x:c r="D32" s="17" t="inlineStr">
        <x:is>
          <x:t>Bad-parity frame acceptance/discard chưa rõ; parity-error test chỉ chấm flag/IRQ/W1C theo mục tiêu. FSR FIFO flags được kiểm tra theo sự kiện, không suy ra serial idle từ tx_empty.</x:t>
        </x:is>
      </x:c>
      <x:c r="E32" s="17" t="inlineStr">
        <x:is>
          <x:t>Spec §1.7.3;§2.2</x:t>
        </x:is>
      </x:c>
      <x:c r="F32" s="17" t="inlineStr">
        <x:is>
          <x:t>1.01;1.07;5.01–5.36;6.08;8.01–8.04</x:t>
        </x:is>
      </x:c>
    </x:row>
    <x:row r="33" ht="125" customHeight="1">
      <x:c r="A33" s="17" t="inlineStr">
        <x:is>
          <x:t>Đề bài</x:t>
        </x:is>
      </x:c>
      <x:c r="B33" s="17" t="inlineStr">
        <x:is>
          <x:t>Mức hoàn thành và denominator</x:t>
        </x:is>
      </x:c>
      <x:c r="C33" s="17" t="inlineStr">
        <x:is>
          <x:t>Đề yêu cầu bước1–6, ít nhất50% testcase có checker và data comparison trong scoreboard, passing rate100%.50% của150 case active là75.</x:t>
        </x:is>
      </x:c>
      <x:c r="D33" s="17" t="inlineStr">
        <x:is>
          <x:t>Con số75 chỉ áp dụng nếu giảng viên chấp nhận phạm vi150 active. Không giảm denominator bằng cách loại mục chưa thực hiện mà không thống nhất phạm vi; các check status-only không tự động chứng minh data comparison.</x:t>
        </x:is>
      </x:c>
      <x:c r="E33" s="17" t="inlineStr">
        <x:is>
          <x:t>Final Project slide323</x:t>
        </x:is>
      </x:c>
      <x:c r="F33" s="17" t="inlineStr">
        <x:is>
          <x:t/>
        </x:is>
      </x:c>
    </x:row>
    <x:row r="34" ht="125" customHeight="1">
      <x:c r="A34" s="17" t="inlineStr">
        <x:is>
          <x:t>Đề bài</x:t>
        </x:is>
      </x:c>
      <x:c r="B34" s="17" t="inlineStr">
        <x:is>
          <x:t>Functional coverage</x:t>
        </x:is>
      </x:c>
      <x:c r="C34" s="17" t="inlineStr">
        <x:is>
          <x:t>Bước7 yêu cầu implement functional coverage; slide không đặt ngưỡng100% functional/code coverage.</x:t>
        </x:is>
      </x:c>
      <x:c r="D34" s="17" t="inlineStr">
        <x:is>
          <x:t>Giữ coverpoints cho các mục tiêu đã chọn; ghi rõ các bin/requirement bị hoãn.150 testcase không đồng nghĩa150 coverage bins hay đủ toàn bộ spec.</x:t>
        </x:is>
      </x:c>
      <x:c r="E34" s="17" t="inlineStr">
        <x:is>
          <x:t>Final Project slide323</x:t>
        </x:is>
      </x:c>
      <x:c r="F34" s="17" t="inlineStr">
        <x:is>
          <x:t/>
        </x:is>
      </x:c>
    </x:row>
    <x:row r="35" ht="125" customHeight="1">
      <x:c r="A35" s="17" t="inlineStr">
        <x:is>
          <x:t>Milestone</x:t>
        </x:is>
      </x:c>
      <x:c r="B35" s="17" t="inlineStr">
        <x:is>
          <x:t>Ý nghĩa M1–M5</x:t>
        </x:is>
      </x:c>
      <x:c r="C35" s="17" t="inlineStr">
        <x:is>
          <x:t>M1 register/AHB; M2 TX; M3 RX; M4 FIFO/IRQ/parity/corner; M5 exploratory sau làm rõ.</x:t>
        </x:is>
      </x:c>
      <x:c r="D35" s="17" t="inlineStr">
        <x:is>
          <x:t>Các milestone là cách tổ chức triển khai, không phải yêu cầu bổ sung của đề.</x:t>
        </x:is>
      </x:c>
      <x:c r="E35" s="17" t="inlineStr">
        <x:is>
          <x:t/>
        </x:is>
      </x:c>
      <x:c r="F35" s="17" t="inlineStr">
        <x:is>
          <x:t/>
        </x:is>
      </x:c>
    </x:row>
    <x:row r="36" ht="125" customHeight="1">
      <x:c r="A36" s="17" t="inlineStr">
        <x:is>
          <x:t>Phạm vi</x:t>
        </x:is>
      </x:c>
      <x:c r="B36" s="17" t="inlineStr">
        <x:is>
          <x:t>Phạm vi triển khai và file được phép sửa</x:t>
        </x:is>
      </x:c>
      <x:c r="C36" s="17" t="inlineStr">
        <x:is>
          <x:t>Đã triển khai150 class/file test riêng, uart_base_test và4 sequence dùng chung. Chỉ tạo nguồn.sv trong testcases/ và sequences/; các file tb/VIP đã có được sửa nội dung. RTL giữ nguyên.</x:t>
        </x:is>
      </x:c>
      <x:c r="D36" s="17" t="inlineStr">
        <x:is>
          <x:t>Trong sim/ chỉ sửa regress.cfg theo chấp thuận của người dùng; không sửa Makefile/regress.pl. Output compile/log/UCDB/regress.rpt nằm ở/tmp/uart-uvm-build/. Không tạo script.py trong dự án.</x:t>
        </x:is>
      </x:c>
      <x:c r="E36" s="17" t="inlineStr">
        <x:is>
          <x:t/>
        </x:is>
      </x:c>
      <x:c r="F36" s="17" t="inlineStr">
        <x:is>
          <x:t/>
        </x:is>
      </x:c>
    </x:row>
    <x:row r="37" ht="145" customHeight="1">
      <x:c r="A37" s="17" t="inlineStr">
        <x:is>
          <x:t>Kết quả</x:t>
        </x:is>
      </x:c>
      <x:c r="B37" s="17" t="inlineStr">
        <x:is>
          <x:t>34 FAIL liên quan TX parity</x:t>
        </x:is>
      </x:c>
      <x:c r="C37" s="17" t="inlineStr">
        <x:is>
          <x:t>32 TX-format parity cases, reset-TX recovery và upper-data-mask báo parity sai. Ví dụ8E1:0x55 có4 bit1, expected parity0 nhưng TX pin phát1 với EPS1; EPS0 phát0 thay vì odd parity1.</x:t>
        </x:is>
      </x:c>
      <x:c r="D37" s="17" t="inlineStr">
        <x:is>
          <x:t>Giữ oracle theo spec; không demote lỗi hoặc sửaRTL để làm xanh kết quả. Data/reset/mask có thể đúng nhưng toàn scenario vẫn Fail khi parity sai.</x:t>
        </x:is>
      </x:c>
      <x:c r="E37" s="17" t="inlineStr">
        <x:is>
          <x:t>Questa2021.2_1,seed1</x:t>
        </x:is>
      </x:c>
      <x:c r="F37" s="17" t="inlineStr">
        <x:is>
          <x:t>4.05–4.12;4.17–4.24;4.29–4.36;4.41–4.48;10.02;13.01</x:t>
        </x:is>
      </x:c>
    </x:row>
    <x:row r="38" ht="145" customHeight="1">
      <x:c r="A38" s="17" t="inlineStr">
        <x:is>
          <x:t>Kết quả</x:t>
        </x:is>
      </x:c>
      <x:c r="B38" s="17" t="inlineStr">
        <x:is>
          <x:t>7 FAIL liên quan RX parity-error</x:t>
        </x:is>
      </x:c>
      <x:c r="C38" s="17" t="inlineStr">
        <x:is>
          <x:t>Bad parity được driver và monitor input đối chiếu đúng; FSR.bit4 vẫn0 trong các test W1C, parityIRQ và parity-error injection/sticky/reassert.</x:t>
        </x:is>
      </x:c>
      <x:c r="D38" s="17" t="inlineStr">
        <x:is>
          <x:t>Không kết luận riêng W1C/IRQ hỏng khi nguồn parity-error chưa hình thành; ghi dependency và chờ RTL/spec owner xử lý.</x:t>
        </x:is>
      </x:c>
      <x:c r="E38" s="17" t="inlineStr">
        <x:is>
          <x:t>Questa2021.2_1,seed1</x:t>
        </x:is>
      </x:c>
      <x:c r="F38" s="17" t="inlineStr">
        <x:is>
          <x:t>1.08;7.09–7.10;8.01–8.04</x:t>
        </x:is>
      </x:c>
    </x:row>
    <x:row r="39" ht="145" customHeight="1">
      <x:c r="A39" s="17" t="inlineStr">
        <x:is>
          <x:t>Kết quả</x:t>
        </x:is>
      </x:c>
      <x:c r="B39" s="17" t="inlineStr">
        <x:is>
          <x:t>2 FAIL AHB pipelining</x:t>
        </x:is>
      </x:c>
      <x:c r="C39" s="17" t="inlineStr">
        <x:is>
          <x:t>WRITE MDR=1 tiếp WRITE DLL=0xA5, read DLL nhận0x01. Các ERROR-to-valid pipelined accesses cũng sai association. Master giữ controls/data đúng qua wait states.</x:t>
        </x:is>
      </x:c>
      <x:c r="D39" s="17" t="inlineStr">
        <x:is>
          <x:t>Waveform AHB/APB cho thấy bridge capture thay đổi khi transfer cũ còn stall; top RTL nối HREADY của bridge tới1. Giữ test back-to-back hợp lệ và không force/patchRTL.</x:t>
        </x:is>
      </x:c>
      <x:c r="E39" s="17" t="inlineStr">
        <x:is>
          <x:t>Questa2021.2_1,seed1</x:t>
        </x:is>
      </x:c>
      <x:c r="F39" s="17" t="inlineStr">
        <x:is>
          <x:t>2.08;11.06</x:t>
        </x:is>
      </x:c>
    </x:row>
    <x:row r="40" ht="145" customHeight="1">
      <x:c r="A40" s="17" t="inlineStr">
        <x:is>
          <x:t>Kết quả</x:t>
        </x:is>
      </x:c>
      <x:c r="B40" s="17" t="inlineStr">
        <x:is>
          <x:t>Chạy có chọn lọc theo nhóm lỗi</x:t>
        </x:is>
      </x:c>
      <x:c r="C40" s="17" t="inlineStr">
        <x:is>
          <x:t>regress.cfg hiện bật4 reproducer:AHB back-to-back,AHB error recovery,TX8E1/16x,RX even parity injection.146 mục khác comment từ đầu dòng, kèm status lần chạy gần nhất.</x:t>
        </x:is>
      </x:c>
      <x:c r="D40" s="17" t="inlineStr">
        <x:is>
          <x:t>Không chạy lại toàn150 khi chưa có thay đổi liên quan. Sửa source thì build một lần; dùng make run TESTNAME=&lt;name&gt; để chỉ rerun test bị ảnh hưởng. Các nguồn cùng nhóm mở rộng sau khi reproducer thay đổi kết quả.</x:t>
        </x:is>
      </x:c>
      <x:c r="E40" s="17" t="inlineStr">
        <x:is>
          <x:t>Questa2021.2_1,seed1</x:t>
        </x:is>
      </x:c>
      <x:c r="F40" s="17" t="inlineStr">
        <x:is>
          <x:t>sim/regress.cfg</x:t>
        </x:is>
      </x:c>
    </x:row>
    <x:row r="41" ht="145" customHeight="1">
      <x:c r="A41" s="17" t="inlineStr">
        <x:is>
          <x:t>Kết quả</x:t>
        </x:is>
      </x:c>
      <x:c r="B41" s="17" t="inlineStr">
        <x:is>
          <x:t>Coverage đã thu thập</x:t>
        </x:is>
      </x:c>
      <x:c r="C41" s="17" t="inlineStr">
        <x:is>
          <x:t xml:space="preserve">Coverage snapshot trước sửa UART monitor: merge150 UCDB, tổng covergroup93.24%, valid frame_format cross67.70%. Đây là số liệu baseline, chưa merge/recompute cho source monitor mới; không coi là coverage100% của spec.</x:t>
        </x:is>
      </x:c>
      <x:c r="D41" s="17" t="inlineStr">
        <x:is>
          <x:t>Frame parity/stop lỗi không được tính là valid format hit.128/150 testcase có so sánh dữ liệu DUT trong scoreboard.43 Fail cần giải quyết trước khi đạt yêu cầu passing rate100%.</x:t>
        </x:is>
      </x:c>
      <x:c r="E41" s="17" t="inlineStr">
        <x:is>
          <x:t>/tmp/uart-uvm-build/coverage.rpt</x:t>
        </x:is>
      </x:c>
      <x:c r="F41" s="17" t="inlineStr">
        <x:is>
          <x:t>UART_MERGE.ucdb</x:t>
        </x:is>
      </x:c>
    </x:row>
    <x:row r="42" ht="120" customHeight="1">
      <x:c r="A42" s="17" t="inlineStr">
        <x:is>
          <x:t xml:space="preserve">VIP timing</x:t>
        </x:is>
      </x:c>
      <x:c r="B42" s="17" t="inlineStr">
        <x:is>
          <x:t xml:space="preserve">Hai lỗi UART monitor đã sửa</x:t>
        </x:is>
      </x:c>
      <x:c r="C42" s="17" t="inlineStr">
        <x:is>
          <x:t xml:space="preserve">Bỏ named-block disable dùng chung giữa hai lời gọi monitor_line; dùng disable fork theo process để TX/RX đồng thời không hủy nhầm nhau. Cuối frame dùng deadline tuyệt đối thay cho cộng hai half-bit delay bị làm tròn.</x:t>
        </x:is>
      </x:c>
      <x:c r="D42" s="17" t="inlineStr">
        <x:is>
          <x:t xml:space="preserve">bit_period lượng tử hóa một lần theo precision1ps; driver/monitor dùng cùng chu kỳ biểu diễn được. Sao chép stop_error_index trong snapshot; sequence hỗ trợ chọn stop bit cần chèn lỗi.</x:t>
        </x:is>
      </x:c>
      <x:c r="E42" s="17" t="inlineStr">
        <x:is>
          <x:t xml:space="preserve">uart_monitor.sv; uart_configuration.sv; uart_transaction.sv</x:t>
        </x:is>
      </x:c>
      <x:c r="F42" s="17" t="inlineStr">
        <x:is>
          <x:t xml:space="preserve">Infrastructure only</x:t>
        </x:is>
      </x:c>
    </x:row>
    <x:row r="43" ht="120" customHeight="1">
      <x:c r="A43" s="17" t="inlineStr">
        <x:is>
          <x:t xml:space="preserve">VIP self-check</x:t>
        </x:is>
      </x:c>
      <x:c r="B43" s="17" t="inlineStr">
        <x:is>
          <x:t xml:space="preserve">Nguồn phát và sampler tham chiếu độc lập</x:t>
        </x:is>
      </x:c>
      <x:c r="C43" s="17" t="inlineStr">
        <x:is>
          <x:t xml:space="preserve">uart_vip_timing_test PASS:399 driver frames lấy mẫu tại1/4,1/2,3/4 mỗi symbol và kiểm tra cạnh;789 monitor frames đối chiếu;60 AHB transfers kiểm tra với slave tham chiếu.</x:t>
        </x:is>
      </x:c>
      <x:c r="D43" s="17" t="inlineStr">
        <x:is>
          <x:t xml:space="preserve">48 UART formats với8 payloads, hai hướng đồng thời/zero-gap, fractional period130.125/160.375ns, baud fallback115200, parity/stop injection, reset giữa frame và recovery. AHB READ/WRITE SINGLE/one-beat INCR,0/1/3/7 wait cycles, two-cycle ERROR rồi legal transfer. Không suy ra DUT full-duplex đã được xác minh.</x:t>
        </x:is>
      </x:c>
      <x:c r="E43" s="17" t="inlineStr">
        <x:is>
          <x:t xml:space="preserve">/tmp/uart-uvm-build/vip_timing.log</x:t>
        </x:is>
      </x:c>
      <x:c r="F43" s="17" t="inlineStr">
        <x:is>
          <x:t xml:space="preserve">Ngoài150 active</x:t>
        </x:is>
      </x:c>
    </x:row>
    <x:row r="44" ht="120" customHeight="1">
      <x:c r="A44" s="17" t="inlineStr">
        <x:is>
          <x:t xml:space="preserve">Error catcher</x:t>
        </x:is>
      </x:c>
      <x:c r="B44" s="17" t="inlineStr">
        <x:is>
          <x:t xml:space="preserve">Whitelist theo component,ID và số lượng</x:t>
        </x:is>
      </x:c>
      <x:c r="C44" s="17" t="inlineStr">
        <x:is>
          <x:t xml:space="preserve">uart_error_catcher chỉ đăng ký tạm trên UART monitor của VIP self-check. Giữ message và demote đúng số lỗi dự kiến; thiếu tạo UART_CATCH_COUNT, thừa/sai ID/component vẫn UVM_ERROR.</x:t>
        </x:is>
      </x:c>
      <x:c r="D44" s="17" t="inlineStr">
        <x:is>
          <x:t xml:space="preserve">Bốn guard runs WRONG_ID/WRONG_COMPONENT/EXCESS/MISSING đều TEST FAILED như yêu cầu. Không đăng ký catcher trong uart_base_test hoặc DUT environment. Lệnh self-check và guard ghi ở đầu uart_vip_check_top.sv.</x:t>
        </x:is>
      </x:c>
      <x:c r="E44" s="17" t="inlineStr">
        <x:is>
          <x:t xml:space="preserve">tb/uart_error_catcher.sv</x:t>
        </x:is>
      </x:c>
      <x:c r="F44" s="17" t="inlineStr">
        <x:is>
          <x:t xml:space="preserve">Ngoài150 active</x:t>
        </x:is>
      </x:c>
    </x:row>
    <x:row r="45" ht="120" customHeight="1">
      <x:c r="A45" s="17" t="inlineStr">
        <x:is>
          <x:t xml:space="preserve">Kết quả chọn lọc</x:t>
        </x:is>
      </x:c>
      <x:c r="B45" s="17" t="inlineStr">
        <x:is>
          <x:t xml:space="preserve">22 active rerun sau sửa VIP, seed1</x:t>
        </x:is>
      </x:c>
      <x:c r="C45" s="17" t="inlineStr">
        <x:is>
          <x:t xml:space="preserve">15 PASS,7 FAIL; base smoke PASS riêng. FAIL tái hiện:TX even/odd parity và TX reset recovery;RX even/odd injected parity không set FSR.bit4;AHB back-to-back và error recovery.</x:t>
        </x:is>
      </x:c>
      <x:c r="D45" s="17" t="inlineStr">
        <x:is>
          <x:t xml:space="preserve">22 dòng bổ sung remark từ log riêng;15 Pass/7 Fail không thay đổi tổng last-known107/43. Không chạy lại toàn150; chưa tuyên bố128 test khác được tái kiểm tra sau sửa VIP. regress.cfg giữ4 reproducer bật,146 test khác comment.</x:t>
        </x:is>
      </x:c>
      <x:c r="E45" s="17" t="inlineStr">
        <x:is>
          <x:t xml:space="preserve">/tmp/uart-uvm-build/&lt;testname&gt;.log</x:t>
        </x:is>
      </x:c>
      <x:c r="F45" s="17" t="inlineStr">
        <x:is>
          <x:t xml:space="preserve">15 Pass +7 Fail</x:t>
        </x:is>
      </x:c>
    </x:row>
  </x:sheetData>
  <x:autoFilter ref="A1:F45"/>
  <x:pageMargins left="0.3" right="0.3" top="0.4" bottom="0.4" header="0.2" footer="0.2"/>
</x:worksheet>
</file>

<file path=xl/worksheets/sheet3.xml><?xml version="1.0" encoding="utf-8"?>
<x:worksheet xmlns:x="http://schemas.openxmlformats.org/spreadsheetml/2006/main">
  <x:dimension ref="A1:M57"/>
  <x:sheetViews>
    <x:sheetView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12" customWidth="1"/>
    <x:col min="2" max="2" width="36" customWidth="1"/>
    <x:col min="3" max="3" width="100" customWidth="1"/>
    <x:col min="4" max="4" width="42" customWidth="1"/>
    <x:col min="5" max="5" width="10" customWidth="1"/>
    <x:col min="6" max="6" width="12" customWidth="1"/>
    <x:col min="7" max="7" width="12" customWidth="1"/>
    <x:col min="8" max="8" width="18" customWidth="1"/>
    <x:col min="9" max="9" width="13" customWidth="1"/>
    <x:col min="10" max="10" width="64" customWidth="1"/>
    <x:col min="11" max="11" width="27" customWidth="1"/>
    <x:col min="12" max="12" width="90" customWidth="1"/>
    <x:col min="13" max="13" width="18" customWidth="1"/>
  </x:cols>
  <x:sheetData>
    <x:row r="1" ht="34" customHeight="1">
      <x:c r="A1" s="25" t="inlineStr">
        <x:is>
          <x:t>Original ID</x:t>
        </x:is>
      </x:c>
      <x:c r="B1" s="25" t="inlineStr">
        <x:is>
          <x:t>Main Title</x:t>
        </x:is>
      </x:c>
      <x:c r="C1" s="25" t="inlineStr">
        <x:is>
          <x:t>Original Description</x:t>
        </x:is>
      </x:c>
      <x:c r="D1" s="25" t="inlineStr">
        <x:is>
          <x:t>Original Testname</x:t>
        </x:is>
      </x:c>
      <x:c r="E1" s="25" t="inlineStr">
        <x:is>
          <x:t>Priority</x:t>
        </x:is>
      </x:c>
      <x:c r="F1" s="25" t="inlineStr">
        <x:is>
          <x:t>Method</x:t>
        </x:is>
      </x:c>
      <x:c r="G1" s="25" t="inlineStr">
        <x:is>
          <x:t>Owner</x:t>
        </x:is>
      </x:c>
      <x:c r="H1" s="25" t="inlineStr">
        <x:is>
          <x:t>Plan Status</x:t>
        </x:is>
      </x:c>
      <x:c r="I1" s="25" t="inlineStr">
        <x:is>
          <x:t>Milestone</x:t>
        </x:is>
      </x:c>
      <x:c r="J1" s="25" t="inlineStr">
        <x:is>
          <x:t>Original Remark</x:t>
        </x:is>
      </x:c>
      <x:c r="K1" s="25" t="inlineStr">
        <x:is>
          <x:t>Disposition</x:t>
        </x:is>
      </x:c>
      <x:c r="L1" s="25" t="inlineStr">
        <x:is>
          <x:t>Reason / retained coverage</x:t>
        </x:is>
      </x:c>
      <x:c r="M1" s="25" t="inlineStr">
        <x:is>
          <x:t>Original Status</x:t>
        </x:is>
      </x:c>
    </x:row>
    <x:row r="2" ht="350" customHeight="1">
      <x:c r="A2" s="17" t="inlineStr">
        <x:is>
          <x:t>1.09</x:t>
        </x:is>
      </x:c>
      <x:c r="B2" s="17" t="inlineStr">
        <x:is>
          <x:t>TBR fixed-zero readback</x:t>
        </x:is>
      </x:c>
      <x:c r="C2" s="17" t="inlineStr">
        <x:is>
          <x:t>Objective: Verify defined TBR readback without assuming TBR stores readable data.
Setup: Reset, configure UART transmit and ensure legal AHB access to 0x018.
Stimulus: Write one TBR byte then read TBR while monitoring the TX line.
Expected: Read returns low byte 0x00; write initiates serialized transmission (separate TX checker).
Checker / PASS: AHB read equals 0 for documented low byte; TX side effect observed independently.
Coverage: TBR read after write.</x:t>
        </x:is>
      </x:c>
      <x:c r="D2" s="17" t="inlineStr">
        <x:is>
          <x:t>uart_reg_tbr_zero_read_test</x:t>
        </x:is>
      </x:c>
      <x:c r="E2" s="17" t="inlineStr">
        <x:is>
          <x:t>Medium</x:t>
        </x:is>
      </x:c>
      <x:c r="F2" s="17" t="inlineStr">
        <x:is>
          <x:t>Directed</x:t>
        </x:is>
      </x:c>
      <x:c r="G2" s="17" t="inlineStr">
        <x:is>
          <x:t/>
        </x:is>
      </x:c>
      <x:c r="H2" s="17" t="inlineStr">
        <x:is>
          <x:t>Deferred</x:t>
        </x:is>
      </x:c>
      <x:c r="I2" s="17" t="inlineStr">
        <x:is>
          <x:t>M2</x:t>
        </x:is>
      </x:c>
      <x:c r="J2" s="17" t="inlineStr">
        <x:is>
          <x:t>Spec §2.2.7 explicitly says read returns 8'h00; upper reserved bits unspecified.</x:t>
        </x:is>
      </x:c>
      <x:c r="K2" s="17" t="inlineStr">
        <x:is>
          <x:t>Covered elsewhere</x:t>
        </x:is>
      </x:c>
      <x:c r="L2" s="17" t="inlineStr">
        <x:is>
          <x:t>Fixed-zero TBR readback is checked during the specific TBR-read side-effect scenario. Retained case: 11.04.</x:t>
        </x:is>
      </x:c>
      <x:c r="M2" s="17" t="inlineStr">
        <x:is>
          <x:t>NY</x:t>
        </x:is>
      </x:c>
    </x:row>
    <x:row r="3" ht="350" customHeight="1">
      <x:c r="A3" s="17" t="inlineStr">
        <x:is>
          <x:t>2.01</x:t>
        </x:is>
      </x:c>
      <x:c r="B3" s="17" t="inlineStr">
        <x:is>
          <x:t>SINGLE AHB word read</x:t>
        </x:is>
      </x:c>
      <x:c r="C3" s="17" t="inlineStr">
        <x:is>
          <x:t>Objective: Verify legal 32-bit single-beat AHB read transfer.
Setup: Set HSIZE=010, HBURST=000, HTRANS=NONSEQ, HSEL=1; reset released.
Stimulus: Read MDR, DLL and LCR with settled data phase and check HREADYOUT.
Expected: Completed read presents correct HRDATA and HRESP=OKAY.
Checker / PASS: AHB monitor reconstructs accepted address and completed read data; read scoreboard.
Coverage: SINGLE × READ × register address.</x:t>
        </x:is>
      </x:c>
      <x:c r="D3" s="17" t="inlineStr">
        <x:is>
          <x:t>uart_ahb_single_read_test</x:t>
        </x:is>
      </x:c>
      <x:c r="E3" s="17" t="inlineStr">
        <x:is>
          <x:t>High</x:t>
        </x:is>
      </x:c>
      <x:c r="F3" s="17" t="inlineStr">
        <x:is>
          <x:t>Directed</x:t>
        </x:is>
      </x:c>
      <x:c r="G3" s="17" t="inlineStr">
        <x:is>
          <x:t/>
        </x:is>
      </x:c>
      <x:c r="H3" s="17" t="inlineStr">
        <x:is>
          <x:t>Deferred</x:t>
        </x:is>
      </x:c>
      <x:c r="I3" s="17" t="inlineStr">
        <x:is>
          <x:t>M1</x:t>
        </x:is>
      </x:c>
      <x:c r="J3" s="17" t="inlineStr">
        <x:is>
          <x:t>Spec §1.6.1 AHB-Lite word-sized transfers.</x:t>
        </x:is>
      </x:c>
      <x:c r="K3" s="17" t="inlineStr">
        <x:is>
          <x:t>Common checker</x:t>
        </x:is>
      </x:c>
      <x:c r="L3" s="17" t="inlineStr">
        <x:is>
          <x:t>Standalone basic bus test removed. All retained AHB accesses must check correct SINGLE-word request, accepted address/data phase, HRESP and exactly-once completion; use actual DUT wait states in2.08/11.06. Wait coverage must be observed, never assumed.</x:t>
        </x:is>
      </x:c>
      <x:c r="M3" s="17" t="inlineStr">
        <x:is>
          <x:t>NY</x:t>
        </x:is>
      </x:c>
    </x:row>
    <x:row r="4" ht="350" customHeight="1">
      <x:c r="A4" s="17" t="inlineStr">
        <x:is>
          <x:t>2.02</x:t>
        </x:is>
      </x:c>
      <x:c r="B4" s="17" t="inlineStr">
        <x:is>
          <x:t>SINGLE AHB word write</x:t>
        </x:is>
      </x:c>
      <x:c r="C4" s="17" t="inlineStr">
        <x:is>
          <x:t>Objective: Verify legal 32-bit single-beat AHB write transfer.
Setup: Set HSIZE=010, HBURST=000, HTRANS=NONSEQ, HSEL=1.
Stimulus: Write 0/1 to MDR; hold HWDATA only in corresponding data phase; reread.
Expected: Write completes once; MDR field matches request; HRESP=OKAY.
Checker / PASS: AHB monitor matches accepted write and readback with no duplicate writes.
Coverage: SINGLE × WRITE.</x:t>
        </x:is>
      </x:c>
      <x:c r="D4" s="17" t="inlineStr">
        <x:is>
          <x:t>uart_ahb_single_write_test</x:t>
        </x:is>
      </x:c>
      <x:c r="E4" s="17" t="inlineStr">
        <x:is>
          <x:t>High</x:t>
        </x:is>
      </x:c>
      <x:c r="F4" s="17" t="inlineStr">
        <x:is>
          <x:t>Directed</x:t>
        </x:is>
      </x:c>
      <x:c r="G4" s="17" t="inlineStr">
        <x:is>
          <x:t/>
        </x:is>
      </x:c>
      <x:c r="H4" s="17" t="inlineStr">
        <x:is>
          <x:t>Deferred</x:t>
        </x:is>
      </x:c>
      <x:c r="I4" s="17" t="inlineStr">
        <x:is>
          <x:t>M1</x:t>
        </x:is>
      </x:c>
      <x:c r="J4" s="17" t="inlineStr">
        <x:is>
          <x:t>Spec §1.6.1; two-phase AHB-Lite timing.</x:t>
        </x:is>
      </x:c>
      <x:c r="K4" s="17" t="inlineStr">
        <x:is>
          <x:t>Common checker</x:t>
        </x:is>
      </x:c>
      <x:c r="L4" s="17" t="inlineStr">
        <x:is>
          <x:t>Standalone basic bus test removed. All retained AHB accesses must check correct SINGLE-word request, accepted address/data phase, HRESP and exactly-once completion; use actual DUT wait states in2.08/11.06. Wait coverage must be observed, never assumed.</x:t>
        </x:is>
      </x:c>
      <x:c r="M4" s="17" t="inlineStr">
        <x:is>
          <x:t>NY</x:t>
        </x:is>
      </x:c>
    </x:row>
    <x:row r="5" ht="350" customHeight="1">
      <x:c r="A5" s="17" t="inlineStr">
        <x:is>
          <x:t>2.05</x:t>
        </x:is>
      </x:c>
      <x:c r="B5" s="17" t="inlineStr">
        <x:is>
          <x:t>AHB read with HREADYOUT stalls</x:t>
        </x:is>
      </x:c>
      <x:c r="C5" s="17" t="inlineStr">
        <x:is>
          <x:t>Objective: Verify read address/data retention across real HREADYOUT wait states.
Setup: Reset; choose legal register and SINGLE word transaction.
Stimulus: Drive read while DUT extends transfer; hold required controls/data until complete.
Expected: Transfer completes exactly once after HREADYOUT=1; no duplicate data or phase corruption.
Checker / PASS: Monitor tracks accepted address phase separately from completing data phase; SVA optional.
Coverage: READ × observed wait-cycle count.</x:t>
        </x:is>
      </x:c>
      <x:c r="D5" s="17" t="inlineStr">
        <x:is>
          <x:t>uart_ahb_read_wait_test</x:t>
        </x:is>
      </x:c>
      <x:c r="E5" s="17" t="inlineStr">
        <x:is>
          <x:t>High</x:t>
        </x:is>
      </x:c>
      <x:c r="F5" s="17" t="inlineStr">
        <x:is>
          <x:t>Directed</x:t>
        </x:is>
      </x:c>
      <x:c r="G5" s="17" t="inlineStr">
        <x:is>
          <x:t/>
        </x:is>
      </x:c>
      <x:c r="H5" s="17" t="inlineStr">
        <x:is>
          <x:t>Deferred</x:t>
        </x:is>
      </x:c>
      <x:c r="I5" s="17" t="inlineStr">
        <x:is>
          <x:t>M1</x:t>
        </x:is>
      </x:c>
      <x:c r="J5" s="17" t="inlineStr">
        <x:is>
          <x:t>Spec §1.6.1 + AMBA AHB-Lite; DUT may not stall in all register cases.</x:t>
        </x:is>
      </x:c>
      <x:c r="K5" s="17" t="inlineStr">
        <x:is>
          <x:t>Common checker</x:t>
        </x:is>
      </x:c>
      <x:c r="L5" s="17" t="inlineStr">
        <x:is>
          <x:t>Standalone basic bus test removed. All retained AHB accesses must check correct SINGLE-word request, accepted address/data phase, HRESP and exactly-once completion; use actual DUT wait states in2.08/11.06. Wait coverage must be observed, never assumed.</x:t>
        </x:is>
      </x:c>
      <x:c r="M5" s="17" t="inlineStr">
        <x:is>
          <x:t>NY</x:t>
        </x:is>
      </x:c>
    </x:row>
    <x:row r="6" ht="350" customHeight="1">
      <x:c r="A6" s="17" t="inlineStr">
        <x:is>
          <x:t>2.06</x:t>
        </x:is>
      </x:c>
      <x:c r="B6" s="17" t="inlineStr">
        <x:is>
          <x:t>AHB write with HREADYOUT stalls</x:t>
        </x:is>
      </x:c>
      <x:c r="C6" s="17" t="inlineStr">
        <x:is>
          <x:t>Objective: Verify write address/data retention across real HREADYOUT wait states.
Setup: Reset; choose legal register and SINGLE word transaction.
Stimulus: Drive write while DUT extends transfer; hold required controls/data until complete.
Expected: Transfer completes exactly once after HREADYOUT=1; no duplicate data or phase corruption.
Checker / PASS: Monitor tracks accepted address phase separately from completing data phase; SVA optional.
Coverage: WRITE × observed wait-cycle count.</x:t>
        </x:is>
      </x:c>
      <x:c r="D6" s="17" t="inlineStr">
        <x:is>
          <x:t>uart_ahb_write_wait_test</x:t>
        </x:is>
      </x:c>
      <x:c r="E6" s="17" t="inlineStr">
        <x:is>
          <x:t>High</x:t>
        </x:is>
      </x:c>
      <x:c r="F6" s="17" t="inlineStr">
        <x:is>
          <x:t>Directed</x:t>
        </x:is>
      </x:c>
      <x:c r="G6" s="17" t="inlineStr">
        <x:is>
          <x:t/>
        </x:is>
      </x:c>
      <x:c r="H6" s="17" t="inlineStr">
        <x:is>
          <x:t>Deferred</x:t>
        </x:is>
      </x:c>
      <x:c r="I6" s="17" t="inlineStr">
        <x:is>
          <x:t>M1</x:t>
        </x:is>
      </x:c>
      <x:c r="J6" s="17" t="inlineStr">
        <x:is>
          <x:t>Spec §1.6.1 + AMBA AHB-Lite; DUT may not stall in all register cases.</x:t>
        </x:is>
      </x:c>
      <x:c r="K6" s="17" t="inlineStr">
        <x:is>
          <x:t>Common checker</x:t>
        </x:is>
      </x:c>
      <x:c r="L6" s="17" t="inlineStr">
        <x:is>
          <x:t>Standalone basic bus test removed. All retained AHB accesses must check correct SINGLE-word request, accepted address/data phase, HRESP and exactly-once completion; use actual DUT wait states in2.08/11.06. Wait coverage must be observed, never assumed.</x:t>
        </x:is>
      </x:c>
      <x:c r="M6" s="17" t="inlineStr">
        <x:is>
          <x:t>NY</x:t>
        </x:is>
      </x:c>
    </x:row>
    <x:row r="7" ht="350" customHeight="1">
      <x:c r="A7" s="17" t="inlineStr">
        <x:is>
          <x:t>3.01</x:t>
        </x:is>
      </x:c>
      <x:c r="B7" s="17" t="inlineStr">
        <x:is>
          <x:t>Baud timing 2400 bps / 16×</x:t>
        </x:is>
      </x:c>
      <x:c r="C7" s="17" t="inlineStr">
        <x:is>
          <x:t>Objective: Verify actual UART bit timing for nominal 2400 baud at 16× oversampling.
Setup: HCLK=100MHz; MDR.OSM_SEL=0; DLL=0x2C; DLH=0x0A; LCR=0x23 (8N1).
Stimulus: Transmit 0x55 and measure start, data and stop intervals on uart_txd.
Expected: Bit period=2604×16×10ns=416640ns (actual 2400.15 baud); no fixed ideal nominal timing assumption.
Checker / PASS: UART monitor measures intervals against programmed divisor with clock-quantization tolerance; AHB setup must succeed.
Coverage: Baud example 2400 × OSM16.</x:t>
        </x:is>
      </x:c>
      <x:c r="D7" s="17" t="inlineStr">
        <x:is>
          <x:t>uart_baud_2400_osm16_test</x:t>
        </x:is>
      </x:c>
      <x:c r="E7" s="17" t="inlineStr">
        <x:is>
          <x:t>Medium</x:t>
        </x:is>
      </x:c>
      <x:c r="F7" s="17" t="inlineStr">
        <x:is>
          <x:t>Directed</x:t>
        </x:is>
      </x:c>
      <x:c r="G7" s="17" t="inlineStr">
        <x:is>
          <x:t/>
        </x:is>
      </x:c>
      <x:c r="H7" s="17" t="inlineStr">
        <x:is>
          <x:t>Deferred</x:t>
        </x:is>
      </x:c>
      <x:c r="I7" s="17" t="inlineStr">
        <x:is>
          <x:t>M4</x:t>
        </x:is>
      </x:c>
      <x:c r="J7" s="17" t="inlineStr">
        <x:is>
          <x:t>Spec §1.5 Table 1-4; divisor=2604.</x:t>
        </x:is>
      </x:c>
      <x:c r="K7" s="17" t="inlineStr">
        <x:is>
          <x:t>Deferred baud example</x:t>
        </x:is>
      </x:c>
      <x:c r="L7" s="17" t="inlineStr">
        <x:is>
          <x:t>Additional nominal table example; keep9600 in both OSM,115200 timing in format tests and min/max divisor boundaries. This exact nominal baud/divisor remains untested in the150-case plan.</x:t>
        </x:is>
      </x:c>
      <x:c r="M7" s="17" t="inlineStr">
        <x:is>
          <x:t>NY</x:t>
        </x:is>
      </x:c>
    </x:row>
    <x:row r="8" ht="350" customHeight="1">
      <x:c r="A8" s="17" t="inlineStr">
        <x:is>
          <x:t>3.02</x:t>
        </x:is>
      </x:c>
      <x:c r="B8" s="17" t="inlineStr">
        <x:is>
          <x:t>Baud timing 4800 bps / 16×</x:t>
        </x:is>
      </x:c>
      <x:c r="C8" s="17" t="inlineStr">
        <x:is>
          <x:t>Objective: Verify actual UART bit timing for nominal 4800 baud at 16× oversampling.
Setup: HCLK=100MHz; MDR.OSM_SEL=0; DLL=0x16; DLH=0x05; LCR=0x23 (8N1).
Stimulus: Transmit 0x55 and measure start, data and stop intervals on uart_txd.
Expected: Bit period=1302×16×10ns=208320ns (actual 4800.31 baud); no fixed ideal nominal timing assumption.
Checker / PASS: UART monitor measures intervals against programmed divisor with clock-quantization tolerance; AHB setup must succeed.
Coverage: Baud example 4800 × OSM16.</x:t>
        </x:is>
      </x:c>
      <x:c r="D8" s="17" t="inlineStr">
        <x:is>
          <x:t>uart_baud_4800_osm16_test</x:t>
        </x:is>
      </x:c>
      <x:c r="E8" s="17" t="inlineStr">
        <x:is>
          <x:t>Medium</x:t>
        </x:is>
      </x:c>
      <x:c r="F8" s="17" t="inlineStr">
        <x:is>
          <x:t>Directed</x:t>
        </x:is>
      </x:c>
      <x:c r="G8" s="17" t="inlineStr">
        <x:is>
          <x:t/>
        </x:is>
      </x:c>
      <x:c r="H8" s="17" t="inlineStr">
        <x:is>
          <x:t>Deferred</x:t>
        </x:is>
      </x:c>
      <x:c r="I8" s="17" t="inlineStr">
        <x:is>
          <x:t>M4</x:t>
        </x:is>
      </x:c>
      <x:c r="J8" s="17" t="inlineStr">
        <x:is>
          <x:t>Spec §1.5 Table 1-4; divisor=1302.</x:t>
        </x:is>
      </x:c>
      <x:c r="K8" s="17" t="inlineStr">
        <x:is>
          <x:t>Deferred baud example</x:t>
        </x:is>
      </x:c>
      <x:c r="L8" s="17" t="inlineStr">
        <x:is>
          <x:t>Additional nominal table example; keep9600 in both OSM,115200 timing in format tests and min/max divisor boundaries. This exact nominal baud/divisor remains untested in the150-case plan.</x:t>
        </x:is>
      </x:c>
      <x:c r="M8" s="17" t="inlineStr">
        <x:is>
          <x:t>NY</x:t>
        </x:is>
      </x:c>
    </x:row>
    <x:row r="9" ht="350" customHeight="1">
      <x:c r="A9" s="17" t="inlineStr">
        <x:is>
          <x:t>3.04</x:t>
        </x:is>
      </x:c>
      <x:c r="B9" s="17" t="inlineStr">
        <x:is>
          <x:t>Baud timing 19200 bps / 16×</x:t>
        </x:is>
      </x:c>
      <x:c r="C9" s="17" t="inlineStr">
        <x:is>
          <x:t>Objective: Verify actual UART bit timing for nominal 19200 baud at 16× oversampling.
Setup: HCLK=100MHz; MDR.OSM_SEL=0; DLL=0x45; DLH=0x01; LCR=0x23 (8N1).
Stimulus: Transmit 0x55 and measure start, data and stop intervals on uart_txd.
Expected: Bit period=325×16×10ns=52000ns (actual 19230.77 baud); no fixed ideal nominal timing assumption.
Checker / PASS: UART monitor measures intervals against programmed divisor with clock-quantization tolerance; AHB setup must succeed.
Coverage: Baud example 19200 × OSM16.</x:t>
        </x:is>
      </x:c>
      <x:c r="D9" s="17" t="inlineStr">
        <x:is>
          <x:t>uart_baud_19200_osm16_test</x:t>
        </x:is>
      </x:c>
      <x:c r="E9" s="17" t="inlineStr">
        <x:is>
          <x:t>Medium</x:t>
        </x:is>
      </x:c>
      <x:c r="F9" s="17" t="inlineStr">
        <x:is>
          <x:t>Directed</x:t>
        </x:is>
      </x:c>
      <x:c r="G9" s="17" t="inlineStr">
        <x:is>
          <x:t/>
        </x:is>
      </x:c>
      <x:c r="H9" s="17" t="inlineStr">
        <x:is>
          <x:t>Deferred</x:t>
        </x:is>
      </x:c>
      <x:c r="I9" s="17" t="inlineStr">
        <x:is>
          <x:t>M4</x:t>
        </x:is>
      </x:c>
      <x:c r="J9" s="17" t="inlineStr">
        <x:is>
          <x:t>Spec §1.5 Table 1-4; divisor=325.</x:t>
        </x:is>
      </x:c>
      <x:c r="K9" s="17" t="inlineStr">
        <x:is>
          <x:t>Deferred baud example</x:t>
        </x:is>
      </x:c>
      <x:c r="L9" s="17" t="inlineStr">
        <x:is>
          <x:t>Additional nominal table example; keep9600 in both OSM,115200 timing in format tests and min/max divisor boundaries. This exact nominal baud/divisor remains untested in the150-case plan.</x:t>
        </x:is>
      </x:c>
      <x:c r="M9" s="17" t="inlineStr">
        <x:is>
          <x:t>NY</x:t>
        </x:is>
      </x:c>
    </x:row>
    <x:row r="10" ht="350" customHeight="1">
      <x:c r="A10" s="17" t="inlineStr">
        <x:is>
          <x:t>3.05</x:t>
        </x:is>
      </x:c>
      <x:c r="B10" s="17" t="inlineStr">
        <x:is>
          <x:t>Baud timing 38400 bps / 16×</x:t>
        </x:is>
      </x:c>
      <x:c r="C10" s="17" t="inlineStr">
        <x:is>
          <x:t>Objective: Verify actual UART bit timing for nominal 38400 baud at 16× oversampling.
Setup: HCLK=100MHz; MDR.OSM_SEL=0; DLL=0xA3; DLH=0x00; LCR=0x23 (8N1).
Stimulus: Transmit 0x55 and measure start, data and stop intervals on uart_txd.
Expected: Bit period=163×16×10ns=26080ns (actual 38343.56 baud); no fixed ideal nominal timing assumption.
Checker / PASS: UART monitor measures intervals against programmed divisor with clock-quantization tolerance; AHB setup must succeed.
Coverage: Baud example 38400 × OSM16.</x:t>
        </x:is>
      </x:c>
      <x:c r="D10" s="17" t="inlineStr">
        <x:is>
          <x:t>uart_baud_38400_osm16_test</x:t>
        </x:is>
      </x:c>
      <x:c r="E10" s="17" t="inlineStr">
        <x:is>
          <x:t>Medium</x:t>
        </x:is>
      </x:c>
      <x:c r="F10" s="17" t="inlineStr">
        <x:is>
          <x:t>Directed</x:t>
        </x:is>
      </x:c>
      <x:c r="G10" s="17" t="inlineStr">
        <x:is>
          <x:t/>
        </x:is>
      </x:c>
      <x:c r="H10" s="17" t="inlineStr">
        <x:is>
          <x:t>Deferred</x:t>
        </x:is>
      </x:c>
      <x:c r="I10" s="17" t="inlineStr">
        <x:is>
          <x:t>M4</x:t>
        </x:is>
      </x:c>
      <x:c r="J10" s="17" t="inlineStr">
        <x:is>
          <x:t>Spec §1.5 Table 1-4; divisor=163.</x:t>
        </x:is>
      </x:c>
      <x:c r="K10" s="17" t="inlineStr">
        <x:is>
          <x:t>Deferred baud example</x:t>
        </x:is>
      </x:c>
      <x:c r="L10" s="17" t="inlineStr">
        <x:is>
          <x:t>Additional nominal table example; keep9600 in both OSM,115200 timing in format tests and min/max divisor boundaries. This exact nominal baud/divisor remains untested in the150-case plan.</x:t>
        </x:is>
      </x:c>
      <x:c r="M10" s="17" t="inlineStr">
        <x:is>
          <x:t>NY</x:t>
        </x:is>
      </x:c>
    </x:row>
    <x:row r="11" ht="350" customHeight="1">
      <x:c r="A11" s="17" t="inlineStr">
        <x:is>
          <x:t>3.06</x:t>
        </x:is>
      </x:c>
      <x:c r="B11" s="17" t="inlineStr">
        <x:is>
          <x:t>Baud timing 76800 bps / 16×</x:t>
        </x:is>
      </x:c>
      <x:c r="C11" s="17" t="inlineStr">
        <x:is>
          <x:t>Objective: Verify actual UART bit timing for nominal 76800 baud at 16× oversampling.
Setup: HCLK=100MHz; MDR.OSM_SEL=0; DLL=0x51; DLH=0x00; LCR=0x23 (8N1).
Stimulus: Transmit 0x55 and measure start, data and stop intervals on uart_txd.
Expected: Bit period=81×16×10ns=12960ns (actual 77160.49 baud); no fixed ideal nominal timing assumption.
Checker / PASS: UART monitor measures intervals against programmed divisor with clock-quantization tolerance; AHB setup must succeed.
Coverage: Baud example 76800 × OSM16.</x:t>
        </x:is>
      </x:c>
      <x:c r="D11" s="17" t="inlineStr">
        <x:is>
          <x:t>uart_baud_76800_osm16_test</x:t>
        </x:is>
      </x:c>
      <x:c r="E11" s="17" t="inlineStr">
        <x:is>
          <x:t>Medium</x:t>
        </x:is>
      </x:c>
      <x:c r="F11" s="17" t="inlineStr">
        <x:is>
          <x:t>Directed</x:t>
        </x:is>
      </x:c>
      <x:c r="G11" s="17" t="inlineStr">
        <x:is>
          <x:t/>
        </x:is>
      </x:c>
      <x:c r="H11" s="17" t="inlineStr">
        <x:is>
          <x:t>Deferred</x:t>
        </x:is>
      </x:c>
      <x:c r="I11" s="17" t="inlineStr">
        <x:is>
          <x:t>M4</x:t>
        </x:is>
      </x:c>
      <x:c r="J11" s="17" t="inlineStr">
        <x:is>
          <x:t>Spec §1.5 Table 1-4; divisor=81.</x:t>
        </x:is>
      </x:c>
      <x:c r="K11" s="17" t="inlineStr">
        <x:is>
          <x:t>Deferred baud example</x:t>
        </x:is>
      </x:c>
      <x:c r="L11" s="17" t="inlineStr">
        <x:is>
          <x:t>Additional nominal table example; keep9600 in both OSM,115200 timing in format tests and min/max divisor boundaries. This exact nominal baud/divisor remains untested in the150-case plan.</x:t>
        </x:is>
      </x:c>
      <x:c r="M11" s="17" t="inlineStr">
        <x:is>
          <x:t>NY</x:t>
        </x:is>
      </x:c>
    </x:row>
    <x:row r="12" ht="350" customHeight="1">
      <x:c r="A12" s="17" t="inlineStr">
        <x:is>
          <x:t>3.07</x:t>
        </x:is>
      </x:c>
      <x:c r="B12" s="17" t="inlineStr">
        <x:is>
          <x:t>Baud timing 115200 bps / 16×</x:t>
        </x:is>
      </x:c>
      <x:c r="C12" s="17" t="inlineStr">
        <x:is>
          <x:t>Objective: Verify actual UART bit timing for nominal 115200 baud at 16× oversampling.
Setup: HCLK=100MHz; MDR.OSM_SEL=0; DLL=0x36; DLH=0x00; LCR=0x23 (8N1).
Stimulus: Transmit 0x55 and measure start, data and stop intervals on uart_txd.
Expected: Bit period=54×16×10ns=8640ns (actual 115740.74 baud); no fixed ideal nominal timing assumption.
Checker / PASS: UART monitor measures intervals against programmed divisor with clock-quantization tolerance; AHB setup must succeed.
Coverage: Baud example 115200 × OSM16.</x:t>
        </x:is>
      </x:c>
      <x:c r="D12" s="17" t="inlineStr">
        <x:is>
          <x:t>uart_baud_115200_osm16_test</x:t>
        </x:is>
      </x:c>
      <x:c r="E12" s="17" t="inlineStr">
        <x:is>
          <x:t>High</x:t>
        </x:is>
      </x:c>
      <x:c r="F12" s="17" t="inlineStr">
        <x:is>
          <x:t>Directed</x:t>
        </x:is>
      </x:c>
      <x:c r="G12" s="17" t="inlineStr">
        <x:is>
          <x:t/>
        </x:is>
      </x:c>
      <x:c r="H12" s="17" t="inlineStr">
        <x:is>
          <x:t>Deferred</x:t>
        </x:is>
      </x:c>
      <x:c r="I12" s="17" t="inlineStr">
        <x:is>
          <x:t>M4</x:t>
        </x:is>
      </x:c>
      <x:c r="J12" s="17" t="inlineStr">
        <x:is>
          <x:t>Spec §1.5 Table 1-4; divisor=54.</x:t>
        </x:is>
      </x:c>
      <x:c r="K12" s="17" t="inlineStr">
        <x:is>
          <x:t>Covered elsewhere</x:t>
        </x:is>
      </x:c>
      <x:c r="L12" s="17" t="inlineStr">
        <x:is>
          <x:t>Same8N1/OSM16 setup, divisor54 and TX0x55; retained format test already requires serial bit-period checking. Retained case: 4.37.</x:t>
        </x:is>
      </x:c>
      <x:c r="M12" s="17" t="inlineStr">
        <x:is>
          <x:t>NY</x:t>
        </x:is>
      </x:c>
    </x:row>
    <x:row r="13" ht="350" customHeight="1">
      <x:c r="A13" s="17" t="inlineStr">
        <x:is>
          <x:t>3.08</x:t>
        </x:is>
      </x:c>
      <x:c r="B13" s="17" t="inlineStr">
        <x:is>
          <x:t>Baud timing 2400 bps / 13×</x:t>
        </x:is>
      </x:c>
      <x:c r="C13" s="17" t="inlineStr">
        <x:is>
          <x:t>Objective: Verify actual UART bit timing for nominal 2400 baud at 13× oversampling.
Setup: HCLK=100MHz; MDR.OSM_SEL=1; DLL=0x85; DLH=0x0C; LCR=0x23 (8N1).
Stimulus: Transmit 0x55 and measure start, data and stop intervals on uart_txd.
Expected: Bit period=3205×13×10ns=416650ns (actual 2400.10 baud); no fixed ideal nominal timing assumption.
Checker / PASS: UART monitor measures intervals against programmed divisor with clock-quantization tolerance; AHB setup must succeed.
Coverage: Baud example 2400 × OSM13.</x:t>
        </x:is>
      </x:c>
      <x:c r="D13" s="17" t="inlineStr">
        <x:is>
          <x:t>uart_baud_2400_osm13_test</x:t>
        </x:is>
      </x:c>
      <x:c r="E13" s="17" t="inlineStr">
        <x:is>
          <x:t>Medium</x:t>
        </x:is>
      </x:c>
      <x:c r="F13" s="17" t="inlineStr">
        <x:is>
          <x:t>Directed</x:t>
        </x:is>
      </x:c>
      <x:c r="G13" s="17" t="inlineStr">
        <x:is>
          <x:t/>
        </x:is>
      </x:c>
      <x:c r="H13" s="17" t="inlineStr">
        <x:is>
          <x:t>Deferred</x:t>
        </x:is>
      </x:c>
      <x:c r="I13" s="17" t="inlineStr">
        <x:is>
          <x:t>M4</x:t>
        </x:is>
      </x:c>
      <x:c r="J13" s="17" t="inlineStr">
        <x:is>
          <x:t>Spec §1.5 Table 1-5; divisor=3205.</x:t>
        </x:is>
      </x:c>
      <x:c r="K13" s="17" t="inlineStr">
        <x:is>
          <x:t>Deferred baud example</x:t>
        </x:is>
      </x:c>
      <x:c r="L13" s="17" t="inlineStr">
        <x:is>
          <x:t>Additional nominal table example; keep9600 in both OSM,115200 timing in format tests and min/max divisor boundaries. This exact nominal baud/divisor remains untested in the150-case plan.</x:t>
        </x:is>
      </x:c>
      <x:c r="M13" s="17" t="inlineStr">
        <x:is>
          <x:t>NY</x:t>
        </x:is>
      </x:c>
    </x:row>
    <x:row r="14" ht="350" customHeight="1">
      <x:c r="A14" s="17" t="inlineStr">
        <x:is>
          <x:t>3.09</x:t>
        </x:is>
      </x:c>
      <x:c r="B14" s="17" t="inlineStr">
        <x:is>
          <x:t>Baud timing 4800 bps / 13×</x:t>
        </x:is>
      </x:c>
      <x:c r="C14" s="17" t="inlineStr">
        <x:is>
          <x:t>Objective: Verify actual UART bit timing for nominal 4800 baud at 13× oversampling.
Setup: HCLK=100MHz; MDR.OSM_SEL=1; DLL=0x42; DLH=0x06; LCR=0x23 (8N1).
Stimulus: Transmit 0x55 and measure start, data and stop intervals on uart_txd.
Expected: Bit period=1602×13×10ns=208260ns (actual 4801.69 baud); no fixed ideal nominal timing assumption.
Checker / PASS: UART monitor measures intervals against programmed divisor with clock-quantization tolerance; AHB setup must succeed.
Coverage: Baud example 4800 × OSM13.</x:t>
        </x:is>
      </x:c>
      <x:c r="D14" s="17" t="inlineStr">
        <x:is>
          <x:t>uart_baud_4800_osm13_test</x:t>
        </x:is>
      </x:c>
      <x:c r="E14" s="17" t="inlineStr">
        <x:is>
          <x:t>Medium</x:t>
        </x:is>
      </x:c>
      <x:c r="F14" s="17" t="inlineStr">
        <x:is>
          <x:t>Directed</x:t>
        </x:is>
      </x:c>
      <x:c r="G14" s="17" t="inlineStr">
        <x:is>
          <x:t/>
        </x:is>
      </x:c>
      <x:c r="H14" s="17" t="inlineStr">
        <x:is>
          <x:t>Deferred</x:t>
        </x:is>
      </x:c>
      <x:c r="I14" s="17" t="inlineStr">
        <x:is>
          <x:t>M4</x:t>
        </x:is>
      </x:c>
      <x:c r="J14" s="17" t="inlineStr">
        <x:is>
          <x:t>Spec §1.5 Table 1-5; divisor=1602.</x:t>
        </x:is>
      </x:c>
      <x:c r="K14" s="17" t="inlineStr">
        <x:is>
          <x:t>Deferred baud example</x:t>
        </x:is>
      </x:c>
      <x:c r="L14" s="17" t="inlineStr">
        <x:is>
          <x:t>Additional nominal table example; keep9600 in both OSM,115200 timing in format tests and min/max divisor boundaries. This exact nominal baud/divisor remains untested in the150-case plan.</x:t>
        </x:is>
      </x:c>
      <x:c r="M14" s="17" t="inlineStr">
        <x:is>
          <x:t>NY</x:t>
        </x:is>
      </x:c>
    </x:row>
    <x:row r="15" ht="350" customHeight="1">
      <x:c r="A15" s="17" t="inlineStr">
        <x:is>
          <x:t>3.11</x:t>
        </x:is>
      </x:c>
      <x:c r="B15" s="17" t="inlineStr">
        <x:is>
          <x:t>Baud timing 19200 bps / 13×</x:t>
        </x:is>
      </x:c>
      <x:c r="C15" s="17" t="inlineStr">
        <x:is>
          <x:t>Objective: Verify actual UART bit timing for nominal 19200 baud at 13× oversampling.
Setup: HCLK=100MHz; MDR.OSM_SEL=1; DLL=0x91; DLH=0x01; LCR=0x23 (8N1).
Stimulus: Transmit 0x55 and measure start, data and stop intervals on uart_txd.
Expected: Bit period=401×13×10ns=52130ns (actual 19182.81 baud); no fixed ideal nominal timing assumption.
Checker / PASS: UART monitor measures intervals against programmed divisor with clock-quantization tolerance; AHB setup must succeed.
Coverage: Baud example 19200 × OSM13.</x:t>
        </x:is>
      </x:c>
      <x:c r="D15" s="17" t="inlineStr">
        <x:is>
          <x:t>uart_baud_19200_osm13_test</x:t>
        </x:is>
      </x:c>
      <x:c r="E15" s="17" t="inlineStr">
        <x:is>
          <x:t>Medium</x:t>
        </x:is>
      </x:c>
      <x:c r="F15" s="17" t="inlineStr">
        <x:is>
          <x:t>Directed</x:t>
        </x:is>
      </x:c>
      <x:c r="G15" s="17" t="inlineStr">
        <x:is>
          <x:t/>
        </x:is>
      </x:c>
      <x:c r="H15" s="17" t="inlineStr">
        <x:is>
          <x:t>Deferred</x:t>
        </x:is>
      </x:c>
      <x:c r="I15" s="17" t="inlineStr">
        <x:is>
          <x:t>M4</x:t>
        </x:is>
      </x:c>
      <x:c r="J15" s="17" t="inlineStr">
        <x:is>
          <x:t>Spec §1.5 Table 1-5; divisor=401.</x:t>
        </x:is>
      </x:c>
      <x:c r="K15" s="17" t="inlineStr">
        <x:is>
          <x:t>Deferred baud example</x:t>
        </x:is>
      </x:c>
      <x:c r="L15" s="17" t="inlineStr">
        <x:is>
          <x:t>Additional nominal table example; keep9600 in both OSM,115200 timing in format tests and min/max divisor boundaries. This exact nominal baud/divisor remains untested in the150-case plan.</x:t>
        </x:is>
      </x:c>
      <x:c r="M15" s="17" t="inlineStr">
        <x:is>
          <x:t>NY</x:t>
        </x:is>
      </x:c>
    </x:row>
    <x:row r="16" ht="350" customHeight="1">
      <x:c r="A16" s="17" t="inlineStr">
        <x:is>
          <x:t>3.12</x:t>
        </x:is>
      </x:c>
      <x:c r="B16" s="17" t="inlineStr">
        <x:is>
          <x:t>Baud timing 38400 bps / 13×</x:t>
        </x:is>
      </x:c>
      <x:c r="C16" s="17" t="inlineStr">
        <x:is>
          <x:t>Objective: Verify actual UART bit timing for nominal 38400 baud at 13× oversampling.
Setup: HCLK=100MHz; MDR.OSM_SEL=1; DLL=0xC8; DLH=0x00; LCR=0x23 (8N1).
Stimulus: Transmit 0x55 and measure start, data and stop intervals on uart_txd.
Expected: Bit period=200×13×10ns=26000ns (actual 38461.54 baud); no fixed ideal nominal timing assumption.
Checker / PASS: UART monitor measures intervals against programmed divisor with clock-quantization tolerance; AHB setup must succeed.
Coverage: Baud example 38400 × OSM13.</x:t>
        </x:is>
      </x:c>
      <x:c r="D16" s="17" t="inlineStr">
        <x:is>
          <x:t>uart_baud_38400_osm13_test</x:t>
        </x:is>
      </x:c>
      <x:c r="E16" s="17" t="inlineStr">
        <x:is>
          <x:t>Medium</x:t>
        </x:is>
      </x:c>
      <x:c r="F16" s="17" t="inlineStr">
        <x:is>
          <x:t>Directed</x:t>
        </x:is>
      </x:c>
      <x:c r="G16" s="17" t="inlineStr">
        <x:is>
          <x:t/>
        </x:is>
      </x:c>
      <x:c r="H16" s="17" t="inlineStr">
        <x:is>
          <x:t>Deferred</x:t>
        </x:is>
      </x:c>
      <x:c r="I16" s="17" t="inlineStr">
        <x:is>
          <x:t>M4</x:t>
        </x:is>
      </x:c>
      <x:c r="J16" s="17" t="inlineStr">
        <x:is>
          <x:t>Spec §1.5 Table 1-5; divisor=200.</x:t>
        </x:is>
      </x:c>
      <x:c r="K16" s="17" t="inlineStr">
        <x:is>
          <x:t>Deferred baud example</x:t>
        </x:is>
      </x:c>
      <x:c r="L16" s="17" t="inlineStr">
        <x:is>
          <x:t>Additional nominal table example; keep9600 in both OSM,115200 timing in format tests and min/max divisor boundaries. This exact nominal baud/divisor remains untested in the150-case plan.</x:t>
        </x:is>
      </x:c>
      <x:c r="M16" s="17" t="inlineStr">
        <x:is>
          <x:t>NY</x:t>
        </x:is>
      </x:c>
    </x:row>
    <x:row r="17" ht="350" customHeight="1">
      <x:c r="A17" s="17" t="inlineStr">
        <x:is>
          <x:t>3.13</x:t>
        </x:is>
      </x:c>
      <x:c r="B17" s="17" t="inlineStr">
        <x:is>
          <x:t>Baud timing 76800 bps / 13×</x:t>
        </x:is>
      </x:c>
      <x:c r="C17" s="17" t="inlineStr">
        <x:is>
          <x:t>Objective: Verify actual UART bit timing for nominal 76800 baud at 13× oversampling.
Setup: HCLK=100MHz; MDR.OSM_SEL=1; DLL=0x64; DLH=0x00; LCR=0x23 (8N1).
Stimulus: Transmit 0x55 and measure start, data and stop intervals on uart_txd.
Expected: Bit period=100×13×10ns=13000ns (actual 76923.08 baud); no fixed ideal nominal timing assumption.
Checker / PASS: UART monitor measures intervals against programmed divisor with clock-quantization tolerance; AHB setup must succeed.
Coverage: Baud example 76800 × OSM13.</x:t>
        </x:is>
      </x:c>
      <x:c r="D17" s="17" t="inlineStr">
        <x:is>
          <x:t>uart_baud_76800_osm13_test</x:t>
        </x:is>
      </x:c>
      <x:c r="E17" s="17" t="inlineStr">
        <x:is>
          <x:t>Medium</x:t>
        </x:is>
      </x:c>
      <x:c r="F17" s="17" t="inlineStr">
        <x:is>
          <x:t>Directed</x:t>
        </x:is>
      </x:c>
      <x:c r="G17" s="17" t="inlineStr">
        <x:is>
          <x:t/>
        </x:is>
      </x:c>
      <x:c r="H17" s="17" t="inlineStr">
        <x:is>
          <x:t>Deferred</x:t>
        </x:is>
      </x:c>
      <x:c r="I17" s="17" t="inlineStr">
        <x:is>
          <x:t>M4</x:t>
        </x:is>
      </x:c>
      <x:c r="J17" s="17" t="inlineStr">
        <x:is>
          <x:t>Spec §1.5 Table 1-5; divisor=100.</x:t>
        </x:is>
      </x:c>
      <x:c r="K17" s="17" t="inlineStr">
        <x:is>
          <x:t>Deferred baud example</x:t>
        </x:is>
      </x:c>
      <x:c r="L17" s="17" t="inlineStr">
        <x:is>
          <x:t>Additional nominal table example; keep9600 in both OSM,115200 timing in format tests and min/max divisor boundaries. This exact nominal baud/divisor remains untested in the150-case plan.</x:t>
        </x:is>
      </x:c>
      <x:c r="M17" s="17" t="inlineStr">
        <x:is>
          <x:t>NY</x:t>
        </x:is>
      </x:c>
    </x:row>
    <x:row r="18" ht="350" customHeight="1">
      <x:c r="A18" s="17" t="inlineStr">
        <x:is>
          <x:t>3.14</x:t>
        </x:is>
      </x:c>
      <x:c r="B18" s="17" t="inlineStr">
        <x:is>
          <x:t>Baud timing 115200 bps / 13×</x:t>
        </x:is>
      </x:c>
      <x:c r="C18" s="17" t="inlineStr">
        <x:is>
          <x:t>Objective: Verify actual UART bit timing for nominal 115200 baud at 13× oversampling.
Setup: HCLK=100MHz; MDR.OSM_SEL=1; DLL=0x43; DLH=0x00; LCR=0x23 (8N1).
Stimulus: Transmit 0x55 and measure start, data and stop intervals on uart_txd.
Expected: Bit period=67×13×10ns=8710ns (actual 114810.56 baud); no fixed ideal nominal timing assumption.
Checker / PASS: UART monitor measures intervals against programmed divisor with clock-quantization tolerance; AHB setup must succeed.
Coverage: Baud example 115200 × OSM13.</x:t>
        </x:is>
      </x:c>
      <x:c r="D18" s="17" t="inlineStr">
        <x:is>
          <x:t>uart_baud_115200_osm13_test</x:t>
        </x:is>
      </x:c>
      <x:c r="E18" s="17" t="inlineStr">
        <x:is>
          <x:t>High</x:t>
        </x:is>
      </x:c>
      <x:c r="F18" s="17" t="inlineStr">
        <x:is>
          <x:t>Directed</x:t>
        </x:is>
      </x:c>
      <x:c r="G18" s="17" t="inlineStr">
        <x:is>
          <x:t/>
        </x:is>
      </x:c>
      <x:c r="H18" s="17" t="inlineStr">
        <x:is>
          <x:t>Deferred</x:t>
        </x:is>
      </x:c>
      <x:c r="I18" s="17" t="inlineStr">
        <x:is>
          <x:t>M4</x:t>
        </x:is>
      </x:c>
      <x:c r="J18" s="17" t="inlineStr">
        <x:is>
          <x:t>Spec §1.5 Table 1-5; divisor=67.</x:t>
        </x:is>
      </x:c>
      <x:c r="K18" s="17" t="inlineStr">
        <x:is>
          <x:t>Covered elsewhere</x:t>
        </x:is>
      </x:c>
      <x:c r="L18" s="17" t="inlineStr">
        <x:is>
          <x:t>Same8N1/OSM13 setup, divisor67 and TX0x55; retained format test already requires serial bit-period checking. Retained case: 4.38.</x:t>
        </x:is>
      </x:c>
      <x:c r="M18" s="17" t="inlineStr">
        <x:is>
          <x:t>NY</x:t>
        </x:is>
      </x:c>
    </x:row>
    <x:row r="19" ht="350" customHeight="1">
      <x:c r="A19" s="17" t="inlineStr">
        <x:is>
          <x:t>6.01</x:t>
        </x:is>
      </x:c>
      <x:c r="B19" s="17" t="inlineStr">
        <x:is>
          <x:t>TX FIFO reset empty</x:t>
        </x:is>
      </x:c>
      <x:c r="C19" s="17" t="inlineStr">
        <x:is>
          <x:t>Objective: Verify tx fifo reset empty.
Setup: Reset DUT; BGE disabled, TX FIFO untouched.
Stimulus: Read FSR bit1 immediately following reset.
Expected: FSR.tx_empty=1 and tx_full=0.
Checker / PASS: FSR masked readback vs documented reset state.
Coverage: TX empty after reset.</x:t>
        </x:is>
      </x:c>
      <x:c r="D19" s="17" t="inlineStr">
        <x:is>
          <x:t>uart_fifo_tx_reset_empty_test</x:t>
        </x:is>
      </x:c>
      <x:c r="E19" s="17" t="inlineStr">
        <x:is>
          <x:t>High</x:t>
        </x:is>
      </x:c>
      <x:c r="F19" s="17" t="inlineStr">
        <x:is>
          <x:t>Directed</x:t>
        </x:is>
      </x:c>
      <x:c r="G19" s="17" t="inlineStr">
        <x:is>
          <x:t/>
        </x:is>
      </x:c>
      <x:c r="H19" s="17" t="inlineStr">
        <x:is>
          <x:t>Deferred</x:t>
        </x:is>
      </x:c>
      <x:c r="I19" s="17" t="inlineStr">
        <x:is>
          <x:t>M4</x:t>
        </x:is>
      </x:c>
      <x:c r="J19" s="17" t="inlineStr">
        <x:is>
          <x:t>Spec §2.2.6.</x:t>
        </x:is>
      </x:c>
      <x:c r="K19" s="17" t="inlineStr">
        <x:is>
          <x:t>Covered elsewhere</x:t>
        </x:is>
      </x:c>
      <x:c r="L19" s="17" t="inlineStr">
        <x:is>
          <x:t>Reset FSR[4:0]=0x0A already verifies TX empty=1/full=0. Retained case: 1.01.</x:t>
        </x:is>
      </x:c>
      <x:c r="M19" s="17" t="inlineStr">
        <x:is>
          <x:t>NY</x:t>
        </x:is>
      </x:c>
    </x:row>
    <x:row r="20" ht="350" customHeight="1">
      <x:c r="A20" s="17" t="inlineStr">
        <x:is>
          <x:t>6.04</x:t>
        </x:is>
      </x:c>
      <x:c r="B20" s="17" t="inlineStr">
        <x:is>
          <x:t>TX FIFO byte ordering</x:t>
        </x:is>
      </x:c>
      <x:c r="C20" s="17" t="inlineStr">
        <x:is>
          <x:t>Objective: Verify tx fifo byte ordering.
Setup: Reset; 8N1, OSM16; TX FIFO empty.
Stimulus: AHB enqueue distinguishable bytes [0x11,0x22,0x33,0x44] within capacity.
Expected: Serial output order equals AHB accepted TBR write order.
Checker / PASS: Byte scoreboard expected vs observed, assert end-of-test queue empty.
Coverage: TX FIFO ordered readout.</x:t>
        </x:is>
      </x:c>
      <x:c r="D20" s="17" t="inlineStr">
        <x:is>
          <x:t>uart_fifo_tx_order_test</x:t>
        </x:is>
      </x:c>
      <x:c r="E20" s="17" t="inlineStr">
        <x:is>
          <x:t>High</x:t>
        </x:is>
      </x:c>
      <x:c r="F20" s="17" t="inlineStr">
        <x:is>
          <x:t>Directed</x:t>
        </x:is>
      </x:c>
      <x:c r="G20" s="17" t="inlineStr">
        <x:is>
          <x:t/>
        </x:is>
      </x:c>
      <x:c r="H20" s="17" t="inlineStr">
        <x:is>
          <x:t>Deferred</x:t>
        </x:is>
      </x:c>
      <x:c r="I20" s="17" t="inlineStr">
        <x:is>
          <x:t>M4</x:t>
        </x:is>
      </x:c>
      <x:c r="J20" s="17" t="inlineStr">
        <x:is>
          <x:t>Spec §1.7.1.</x:t>
        </x:is>
      </x:c>
      <x:c r="K20" s="17" t="inlineStr">
        <x:is>
          <x:t>Covered elsewhere</x:t>
        </x:is>
      </x:c>
      <x:c r="L20" s="17" t="inlineStr">
        <x:is>
          <x:t>Same four-byte TX FIFO ordering scenario and scoreboard goal. Retained case: 4.51.</x:t>
        </x:is>
      </x:c>
      <x:c r="M20" s="17" t="inlineStr">
        <x:is>
          <x:t>NY</x:t>
        </x:is>
      </x:c>
    </x:row>
    <x:row r="21" ht="350" customHeight="1">
      <x:c r="A21" s="17" t="inlineStr">
        <x:is>
          <x:t>6.06</x:t>
        </x:is>
      </x:c>
      <x:c r="B21" s="17" t="inlineStr">
        <x:is>
          <x:t>RX FIFO reset empty</x:t>
        </x:is>
      </x:c>
      <x:c r="C21" s="17" t="inlineStr">
        <x:is>
          <x:t>Objective: Verify rx fifo reset empty.
Setup: Reset; UART RX idle high; no incoming frame.
Stimulus: Read FSR bit3 before any UART RX input.
Expected: rx_empty=1 and rx_full=0.
Checker / PASS: FSR masked readback against spec reset values.
Coverage: RX empty reset.</x:t>
        </x:is>
      </x:c>
      <x:c r="D21" s="17" t="inlineStr">
        <x:is>
          <x:t>uart_fifo_rx_reset_empty_test</x:t>
        </x:is>
      </x:c>
      <x:c r="E21" s="17" t="inlineStr">
        <x:is>
          <x:t>High</x:t>
        </x:is>
      </x:c>
      <x:c r="F21" s="17" t="inlineStr">
        <x:is>
          <x:t>Directed</x:t>
        </x:is>
      </x:c>
      <x:c r="G21" s="17" t="inlineStr">
        <x:is>
          <x:t/>
        </x:is>
      </x:c>
      <x:c r="H21" s="17" t="inlineStr">
        <x:is>
          <x:t>Deferred</x:t>
        </x:is>
      </x:c>
      <x:c r="I21" s="17" t="inlineStr">
        <x:is>
          <x:t>M4</x:t>
        </x:is>
      </x:c>
      <x:c r="J21" s="17" t="inlineStr">
        <x:is>
          <x:t>Spec §2.2.6.</x:t>
        </x:is>
      </x:c>
      <x:c r="K21" s="17" t="inlineStr">
        <x:is>
          <x:t>Covered elsewhere</x:t>
        </x:is>
      </x:c>
      <x:c r="L21" s="17" t="inlineStr">
        <x:is>
          <x:t>Reset FSR[4:0]=0x0A already verifies RX empty=1/full=0. Retained case: 1.01.</x:t>
        </x:is>
      </x:c>
      <x:c r="M21" s="17" t="inlineStr">
        <x:is>
          <x:t>NY</x:t>
        </x:is>
      </x:c>
    </x:row>
    <x:row r="22" ht="350" customHeight="1">
      <x:c r="A22" s="17" t="inlineStr">
        <x:is>
          <x:t>9.01</x:t>
        </x:is>
      </x:c>
      <x:c r="B22" s="17" t="inlineStr">
        <x:is>
          <x:t>Full-duplex simultaneous start</x:t>
        </x:is>
      </x:c>
      <x:c r="C22" s="17" t="inlineStr">
        <x:is>
          <x:t>Objective: Explore concurrent TX and RX frame handling under shared 8N1 configuration.
Setup: Derived/pending confirmation; reset; MDR=16×, LCR=0x23; distinct TX and RX payloads.
Stimulus: At overlapping start time write TBR=0x55 and concurrently drive uart_rxd=0xA6.
Expected: If concurrency is supported, UART TX=0x55 and AHB RBR=0xA6 independently, no cross-direction data corruption.
Checker / PASS: Two separate expected queues and monitors; PASS only if BOTH directions compare; otherwise log clarification.
Coverage: TX/RX overlap simultaneous.</x:t>
        </x:is>
      </x:c>
      <x:c r="D22" s="17" t="inlineStr">
        <x:is>
          <x:t>uart_duplex_simultaneous_test</x:t>
        </x:is>
      </x:c>
      <x:c r="E22" s="17" t="inlineStr">
        <x:is>
          <x:t>Low</x:t>
        </x:is>
      </x:c>
      <x:c r="F22" s="17" t="inlineStr">
        <x:is>
          <x:t>Directed</x:t>
        </x:is>
      </x:c>
      <x:c r="G22" s="17" t="inlineStr">
        <x:is>
          <x:t/>
        </x:is>
      </x:c>
      <x:c r="H22" s="17" t="inlineStr">
        <x:is>
          <x:t>Pending spec</x:t>
        </x:is>
      </x:c>
      <x:c r="I22" s="17" t="inlineStr">
        <x:is>
          <x:t>M5</x:t>
        </x:is>
      </x:c>
      <x:c r="J22" s="17" t="inlineStr">
        <x:is>
          <x:t>Derived architectural scenario, NOT explicitly guaranteed by spec. Spec §1.3, §1.4.2, §1.7 (separate TX/RX paths/FIFOs); confirm concurrent operation with instructor.</x:t>
        </x:is>
      </x:c>
      <x:c r="K22" s="17" t="inlineStr">
        <x:is>
          <x:t>Pending spec</x:t>
        </x:is>
      </x:c>
      <x:c r="L22" s="17" t="inlineStr">
        <x:is>
          <x:t>Expected behavior needs specification clarification; excluded from required150-test plan.</x:t>
        </x:is>
      </x:c>
      <x:c r="M22" s="17" t="inlineStr">
        <x:is>
          <x:t>Pending spec</x:t>
        </x:is>
      </x:c>
    </x:row>
    <x:row r="23" ht="350" customHeight="1">
      <x:c r="A23" s="17" t="inlineStr">
        <x:is>
          <x:t>9.02</x:t>
        </x:is>
      </x:c>
      <x:c r="B23" s="17" t="inlineStr">
        <x:is>
          <x:t>Full-duplex RX starts during TX</x:t>
        </x:is>
      </x:c>
      <x:c r="C23" s="17" t="inlineStr">
        <x:is>
          <x:t>Objective: Explore RX reception when independent TX frame is already in progress.
Setup: Derived/pending confirmation; common UART 7E2, 13×; RX and TX payloads differ.
Stimulus: Write TBR=0x53; after TX starts drive valid UART RX 0x26; later read RBR.
Expected: If supported, serialized TX byte and received RBR byte both match independently.
Checker / PASS: Confirm measured frame intervals overlap; dual scoreboard comparisons; no RX loss.
Coverage: TX-running × RX-start timing.</x:t>
        </x:is>
      </x:c>
      <x:c r="D23" s="17" t="inlineStr">
        <x:is>
          <x:t>uart_duplex_rx_during_tx_test</x:t>
        </x:is>
      </x:c>
      <x:c r="E23" s="17" t="inlineStr">
        <x:is>
          <x:t>Low</x:t>
        </x:is>
      </x:c>
      <x:c r="F23" s="17" t="inlineStr">
        <x:is>
          <x:t>Directed</x:t>
        </x:is>
      </x:c>
      <x:c r="G23" s="17" t="inlineStr">
        <x:is>
          <x:t/>
        </x:is>
      </x:c>
      <x:c r="H23" s="17" t="inlineStr">
        <x:is>
          <x:t>Pending spec</x:t>
        </x:is>
      </x:c>
      <x:c r="I23" s="17" t="inlineStr">
        <x:is>
          <x:t>M5</x:t>
        </x:is>
      </x:c>
      <x:c r="J23" s="17" t="inlineStr">
        <x:is>
          <x:t>Derived architectural scenario, NOT explicitly guaranteed by spec. Spec §1.3, §1.4.2, §1.7 (separate TX/RX paths/FIFOs); confirm concurrent operation with instructor.</x:t>
        </x:is>
      </x:c>
      <x:c r="K23" s="17" t="inlineStr">
        <x:is>
          <x:t>Pending spec</x:t>
        </x:is>
      </x:c>
      <x:c r="L23" s="17" t="inlineStr">
        <x:is>
          <x:t>Expected behavior needs specification clarification; excluded from required150-test plan.</x:t>
        </x:is>
      </x:c>
      <x:c r="M23" s="17" t="inlineStr">
        <x:is>
          <x:t>Pending spec</x:t>
        </x:is>
      </x:c>
    </x:row>
    <x:row r="24" ht="350" customHeight="1">
      <x:c r="A24" s="17" t="inlineStr">
        <x:is>
          <x:t>9.03</x:t>
        </x:is>
      </x:c>
      <x:c r="B24" s="17" t="inlineStr">
        <x:is>
          <x:t>Full-duplex TX starts during RX</x:t>
        </x:is>
      </x:c>
      <x:c r="C24" s="17" t="inlineStr">
        <x:is>
          <x:t>Objective: Explore TX transmission while receiver is sampling a valid input frame.
Setup: Derived/pending confirmation; common UART 8O1, 16×; separate TX and RX data.
Stimulus: Drive uart_rxd=0x96 first; while RX active, AHB write TBR=0x69.
Expected: If supported, TX serial output=0x69 and RX RBR=0x96 without cross-mixing.
Checker / PASS: Overlap monitor + independent TX and RX scoreboards; both streams must complete.
Coverage: RX-running × TX-start timing.</x:t>
        </x:is>
      </x:c>
      <x:c r="D24" s="17" t="inlineStr">
        <x:is>
          <x:t>uart_duplex_tx_during_rx_test</x:t>
        </x:is>
      </x:c>
      <x:c r="E24" s="17" t="inlineStr">
        <x:is>
          <x:t>Low</x:t>
        </x:is>
      </x:c>
      <x:c r="F24" s="17" t="inlineStr">
        <x:is>
          <x:t>Directed</x:t>
        </x:is>
      </x:c>
      <x:c r="G24" s="17" t="inlineStr">
        <x:is>
          <x:t/>
        </x:is>
      </x:c>
      <x:c r="H24" s="17" t="inlineStr">
        <x:is>
          <x:t>Pending spec</x:t>
        </x:is>
      </x:c>
      <x:c r="I24" s="17" t="inlineStr">
        <x:is>
          <x:t>M5</x:t>
        </x:is>
      </x:c>
      <x:c r="J24" s="17" t="inlineStr">
        <x:is>
          <x:t>Derived architectural scenario, NOT explicitly guaranteed by spec. Spec §1.3, §1.4.2, §1.7 (separate TX/RX paths/FIFOs); confirm concurrent operation with instructor.</x:t>
        </x:is>
      </x:c>
      <x:c r="K24" s="17" t="inlineStr">
        <x:is>
          <x:t>Pending spec</x:t>
        </x:is>
      </x:c>
      <x:c r="L24" s="17" t="inlineStr">
        <x:is>
          <x:t>Expected behavior needs specification clarification; excluded from required150-test plan.</x:t>
        </x:is>
      </x:c>
      <x:c r="M24" s="17" t="inlineStr">
        <x:is>
          <x:t>Pending spec</x:t>
        </x:is>
      </x:c>
    </x:row>
    <x:row r="25" ht="350" customHeight="1">
      <x:c r="A25" s="17" t="inlineStr">
        <x:is>
          <x:t>10.01</x:t>
        </x:is>
      </x:c>
      <x:c r="B25" s="17" t="inlineStr">
        <x:is>
          <x:t>Reset from nondefault programming</x:t>
        </x:is>
      </x:c>
      <x:c r="C25" s="17" t="inlineStr">
        <x:is>
          <x:t>Objective: Reset from nondefault programming.
Setup: Program nondefault MDR/DLL/DLH/LCR/IER with no active frame.
Stimulus: Assert HRESETN then release; read all defined fields; reinitialize using Ch.3 and run one TX and one RX frame.
Expected: MDR=0, DLL=0, DLH=0, LCR[5:0]=3, IER=0, FSR[4:0]=0x0A; fresh traffic works.
Checker / PASS: Masked AHB reset checks plus one data comparison per direction; do not compare RBR reset data.
Coverage: Nondefault field values x reset x recovery.</x:t>
        </x:is>
      </x:c>
      <x:c r="D25" s="17" t="inlineStr">
        <x:is>
          <x:t>uart_reset_nondefault_test</x:t>
        </x:is>
      </x:c>
      <x:c r="E25" s="17" t="inlineStr">
        <x:is>
          <x:t>High</x:t>
        </x:is>
      </x:c>
      <x:c r="F25" s="17" t="inlineStr">
        <x:is>
          <x:t>Directed</x:t>
        </x:is>
      </x:c>
      <x:c r="G25" s="17" t="inlineStr">
        <x:is>
          <x:t/>
        </x:is>
      </x:c>
      <x:c r="H25" s="17" t="inlineStr">
        <x:is>
          <x:t>Deferred</x:t>
        </x:is>
      </x:c>
      <x:c r="I25" s="17" t="inlineStr">
        <x:is>
          <x:t>M1</x:t>
        </x:is>
      </x:c>
      <x:c r="J25" s="17" t="inlineStr">
        <x:is>
          <x:t>[Corner] Added 2026-10-24. Spec §2.2 reset values; Ch.3 initialization.</x:t>
        </x:is>
      </x:c>
      <x:c r="K25" s="17" t="inlineStr">
        <x:is>
          <x:t>Deferred advanced</x:t>
        </x:is>
      </x:c>
      <x:c r="L25" s="17" t="inlineStr">
        <x:is>
          <x:t>Distinct extended scenario postponed to meet150-test budget; no claim that retained cases fully cover its specific stimulus/checker.</x:t>
        </x:is>
      </x:c>
      <x:c r="M25" s="17" t="inlineStr">
        <x:is>
          <x:t>NY</x:t>
        </x:is>
      </x:c>
    </x:row>
    <x:row r="26" ht="350" customHeight="1">
      <x:c r="A26" s="17" t="inlineStr">
        <x:is>
          <x:t>10.04</x:t>
        </x:is>
      </x:c>
      <x:c r="B26" s="17" t="inlineStr">
        <x:is>
          <x:t>Reset with queued TX and RX data</x:t>
        </x:is>
      </x:c>
      <x:c r="C26" s="17" t="inlineStr">
        <x:is>
          <x:t>Objective: Reset with queued TX and RX data.
Setup: Place multiple distinct bytes in each FIFO using sequential TX/RX setup; prove nonempty status before reset.
Stimulus: Reset before draining queues, release, reconfigure; transmit and receive new markers.
Expected: FSR resets to empty/not-full for both FIFOs; no queued pre-reset byte appears among new data.
Checker / PASS: Reference queues are reset atomically; compare new markers and verify exact counts; RBR empty value remains unchecked.
Coverage: Partial/full occupancy x FIFO direction x reset.</x:t>
        </x:is>
      </x:c>
      <x:c r="D26" s="17" t="inlineStr">
        <x:is>
          <x:t>uart_reset_queued_fifos_test</x:t>
        </x:is>
      </x:c>
      <x:c r="E26" s="17" t="inlineStr">
        <x:is>
          <x:t>High</x:t>
        </x:is>
      </x:c>
      <x:c r="F26" s="17" t="inlineStr">
        <x:is>
          <x:t>Directed</x:t>
        </x:is>
      </x:c>
      <x:c r="G26" s="17" t="inlineStr">
        <x:is>
          <x:t/>
        </x:is>
      </x:c>
      <x:c r="H26" s="17" t="inlineStr">
        <x:is>
          <x:t>Deferred</x:t>
        </x:is>
      </x:c>
      <x:c r="I26" s="17" t="inlineStr">
        <x:is>
          <x:t>M4</x:t>
        </x:is>
      </x:c>
      <x:c r="J26" s="17" t="inlineStr">
        <x:is>
          <x:t>[Corner] Added 2026-10-24. Spec §1.2 FIFO depth; §2.2 reset defaults.</x:t>
        </x:is>
      </x:c>
      <x:c r="K26" s="17" t="inlineStr">
        <x:is>
          <x:t>Deferred advanced</x:t>
        </x:is>
      </x:c>
      <x:c r="L26" s="17" t="inlineStr">
        <x:is>
          <x:t>Distinct extended scenario postponed to meet150-test budget; no claim that retained cases fully cover its specific stimulus/checker.</x:t>
        </x:is>
      </x:c>
      <x:c r="M26" s="17" t="inlineStr">
        <x:is>
          <x:t>NY</x:t>
        </x:is>
      </x:c>
    </x:row>
    <x:row r="27" ht="350" customHeight="1">
      <x:c r="A27" s="17" t="inlineStr">
        <x:is>
          <x:t>10.05</x:t>
        </x:is>
      </x:c>
      <x:c r="B27" s="17" t="inlineStr">
        <x:is>
          <x:t>Reset with pending parity and FIFO interrupts</x:t>
        </x:is>
      </x:c>
      <x:c r="C27" s="17" t="inlineStr">
        <x:is>
          <x:t>Objective: Reset with pending parity and FIFO interrupts.
Setup: Enable selected IER bits and prove interrupt high; repeat for a FIFO source and a parity-error source.
Stimulus: Assert/release reset; inspect IER/FSR/interrupt; reinitialize and provoke a new enabled source.
Expected: IER=0 and parity flag=0 after reset; interrupt is inactive once reset values settle, despite empty FIFO flags; new source can assert it again.
Checker / PASS: IER/FSR masked checks and interrupt monitor; no fixed undocumented assertion/deassertion cycle count.
Coverage: Active IRQ source x reset x reassert.</x:t>
        </x:is>
      </x:c>
      <x:c r="D27" s="17" t="inlineStr">
        <x:is>
          <x:t>uart_reset_active_irq_test</x:t>
        </x:is>
      </x:c>
      <x:c r="E27" s="17" t="inlineStr">
        <x:is>
          <x:t>High</x:t>
        </x:is>
      </x:c>
      <x:c r="F27" s="17" t="inlineStr">
        <x:is>
          <x:t>Directed</x:t>
        </x:is>
      </x:c>
      <x:c r="G27" s="17" t="inlineStr">
        <x:is>
          <x:t/>
        </x:is>
      </x:c>
      <x:c r="H27" s="17" t="inlineStr">
        <x:is>
          <x:t>Deferred</x:t>
        </x:is>
      </x:c>
      <x:c r="I27" s="17" t="inlineStr">
        <x:is>
          <x:t>M4</x:t>
        </x:is>
      </x:c>
      <x:c r="J27" s="17" t="inlineStr">
        <x:is>
          <x:t>[Corner] Added 2026-10-24. Spec §2.2.5–2.2.6 defaults and interrupt enables.</x:t>
        </x:is>
      </x:c>
      <x:c r="K27" s="17" t="inlineStr">
        <x:is>
          <x:t>Deferred advanced</x:t>
        </x:is>
      </x:c>
      <x:c r="L27" s="17" t="inlineStr">
        <x:is>
          <x:t>Distinct extended scenario postponed to meet150-test budget; no claim that retained cases fully cover its specific stimulus/checker.</x:t>
        </x:is>
      </x:c>
      <x:c r="M27" s="17" t="inlineStr">
        <x:is>
          <x:t>NY</x:t>
        </x:is>
      </x:c>
    </x:row>
    <x:row r="28" ht="350" customHeight="1">
      <x:c r="A28" s="17" t="inlineStr">
        <x:is>
          <x:t>11.01</x:t>
        </x:is>
      </x:c>
      <x:c r="B28" s="17" t="inlineStr">
        <x:is>
          <x:t>Walking-bit RW register isolation</x:t>
        </x:is>
      </x:c>
      <x:c r="C28" s="17" t="inlineStr">
        <x:is>
          <x:t>Objective: Walking-bit RW register isolation.
Setup: BGE=0; snapshot MDR/DLL/DLH/LCR/IER; masks 0x01/0xFF/0xFF/0x3F/0x1F.
Stimulus: Walk one and zero through documented RW bits; read back target and all other RW registers; test BGE last with legal nonzero divisor and serial idle.
Expected: Each writable field stores its own value and other registers remain unchanged.
Checker / PASS: Independent masked readback, not only RAL mirror; restore valid settings after each trial.
Coverage: Register x writable bit x value x adjacent-address isolation.</x:t>
        </x:is>
      </x:c>
      <x:c r="D28" s="17" t="inlineStr">
        <x:is>
          <x:t>uart_reg_walking_fields_test</x:t>
        </x:is>
      </x:c>
      <x:c r="E28" s="17" t="inlineStr">
        <x:is>
          <x:t>High</x:t>
        </x:is>
      </x:c>
      <x:c r="F28" s="17" t="inlineStr">
        <x:is>
          <x:t>Directed</x:t>
        </x:is>
      </x:c>
      <x:c r="G28" s="17" t="inlineStr">
        <x:is>
          <x:t/>
        </x:is>
      </x:c>
      <x:c r="H28" s="17" t="inlineStr">
        <x:is>
          <x:t>Deferred</x:t>
        </x:is>
      </x:c>
      <x:c r="I28" s="17" t="inlineStr">
        <x:is>
          <x:t>M1</x:t>
        </x:is>
      </x:c>
      <x:c r="J28" s="17" t="inlineStr">
        <x:is>
          <x:t>[Normal] Added 2026-10-24. Spec §2.2.1–2.2.5. Existing 1.02–1.06 sample values do not guarantee per-bit isolation.</x:t>
        </x:is>
      </x:c>
      <x:c r="K28" s="17" t="inlineStr">
        <x:is>
          <x:t>Deferred advanced</x:t>
        </x:is>
      </x:c>
      <x:c r="L28" s="17" t="inlineStr">
        <x:is>
          <x:t>Distinct extended scenario postponed to meet150-test budget; no claim that retained cases fully cover its specific stimulus/checker.</x:t>
        </x:is>
      </x:c>
      <x:c r="M28" s="17" t="inlineStr">
        <x:is>
          <x:t>NY</x:t>
        </x:is>
      </x:c>
    </x:row>
    <x:row r="29" ht="350" customHeight="1">
      <x:c r="A29" s="17" t="inlineStr">
        <x:is>
          <x:t>11.02</x:t>
        </x:is>
      </x:c>
      <x:c r="B29" s="17" t="inlineStr">
        <x:is>
          <x:t>Reserved register bits cannot alter active fields</x:t>
        </x:is>
      </x:c>
      <x:c r="C29" s="17" t="inlineStr">
        <x:is>
          <x:t>Objective: Reserved register bits cannot alter active fields.
Setup: Use valid mapped offsets; choose known meaningful fields and no serial activity; initialize a legal divisor before enabling BGE.
Stimulus: For MDR/DLL/DLH/LCR/IER, hold defined fields fixed and vary only reserved upper bits between zero/ones/random; read meaningful fields.
Expected: Defined fields retain the selected values; neighboring register fields remain unchanged. Reserved-bit read values are not constrained.
Checker / PASS: Mask checks to documented fields; never require reserved bits to read zero or require HRESP behavior beyond legal mapped access.
Coverage: Mapped register x upper-bit pattern x defined-field stability.</x:t>
        </x:is>
      </x:c>
      <x:c r="D29" s="17" t="inlineStr">
        <x:is>
          <x:t>uart_reg_reserved_bits_isolation_test</x:t>
        </x:is>
      </x:c>
      <x:c r="E29" s="17" t="inlineStr">
        <x:is>
          <x:t>High</x:t>
        </x:is>
      </x:c>
      <x:c r="F29" s="17" t="inlineStr">
        <x:is>
          <x:t>Directed</x:t>
        </x:is>
      </x:c>
      <x:c r="G29" s="17" t="inlineStr">
        <x:is>
          <x:t/>
        </x:is>
      </x:c>
      <x:c r="H29" s="17" t="inlineStr">
        <x:is>
          <x:t>Deferred</x:t>
        </x:is>
      </x:c>
      <x:c r="I29" s="17" t="inlineStr">
        <x:is>
          <x:t>M1</x:t>
        </x:is>
      </x:c>
      <x:c r="J29" s="17" t="inlineStr">
        <x:is>
          <x:t>[Corner] Added 2026-10-24. Spec §2.2 register layouts; reserved-bit read policy unspecified.</x:t>
        </x:is>
      </x:c>
      <x:c r="K29" s="17" t="inlineStr">
        <x:is>
          <x:t>Deferred advanced</x:t>
        </x:is>
      </x:c>
      <x:c r="L29" s="17" t="inlineStr">
        <x:is>
          <x:t>Distinct extended scenario postponed to meet150-test budget; no claim that retained cases fully cover its specific stimulus/checker.</x:t>
        </x:is>
      </x:c>
      <x:c r="M29" s="17" t="inlineStr">
        <x:is>
          <x:t>NY</x:t>
        </x:is>
      </x:c>
    </x:row>
    <x:row r="30" ht="350" customHeight="1">
      <x:c r="A30" s="17" t="inlineStr">
        <x:is>
          <x:t>11.03</x:t>
        </x:is>
      </x:c>
      <x:c r="B30" s="17" t="inlineStr">
        <x:is>
          <x:t>Writes to RO RBR preserve queued data</x:t>
        </x:is>
      </x:c>
      <x:c r="C30" s="17" t="inlineStr">
        <x:is>
          <x:t>Objective: Writes to RO RBR preserve queued data.
Setup: Receive three valid distinct bytes; stop RX stimulus before AHB access.
Stimulus: Attempt AHB writes of 0/all-ones/random to RBR 0x01C; read FSR and drain the original three bytes.
Expected: RO writes neither replace queued bytes nor pop RX FIFO; original bytes drain in order exactly once.
Checker / PASS: Data/order/count scoreboard and FSR; record HRESP without inventing an error policy for RO writes.
Coverage: RBR RO write x payload preservation.</x:t>
        </x:is>
      </x:c>
      <x:c r="D30" s="17" t="inlineStr">
        <x:is>
          <x:t>uart_rbr_write_no_pop_test</x:t>
        </x:is>
      </x:c>
      <x:c r="E30" s="17" t="inlineStr">
        <x:is>
          <x:t>High</x:t>
        </x:is>
      </x:c>
      <x:c r="F30" s="17" t="inlineStr">
        <x:is>
          <x:t>Directed</x:t>
        </x:is>
      </x:c>
      <x:c r="G30" s="17" t="inlineStr">
        <x:is>
          <x:t/>
        </x:is>
      </x:c>
      <x:c r="H30" s="17" t="inlineStr">
        <x:is>
          <x:t>Deferred</x:t>
        </x:is>
      </x:c>
      <x:c r="I30" s="17" t="inlineStr">
        <x:is>
          <x:t>M3</x:t>
        </x:is>
      </x:c>
      <x:c r="J30" s="17" t="inlineStr">
        <x:is>
          <x:t>[Corner] Added 2026-10-24. Spec §2.2.8 RO; §2.1 access attributes.</x:t>
        </x:is>
      </x:c>
      <x:c r="K30" s="17" t="inlineStr">
        <x:is>
          <x:t>Deferred advanced</x:t>
        </x:is>
      </x:c>
      <x:c r="L30" s="17" t="inlineStr">
        <x:is>
          <x:t>Distinct extended scenario postponed to meet150-test budget; no claim that retained cases fully cover its specific stimulus/checker.</x:t>
        </x:is>
      </x:c>
      <x:c r="M30" s="17" t="inlineStr">
        <x:is>
          <x:t>NY</x:t>
        </x:is>
      </x:c>
    </x:row>
    <x:row r="31" ht="350" customHeight="1">
      <x:c r="A31" s="17" t="inlineStr">
        <x:is>
          <x:t>11.05</x:t>
        </x:is>
      </x:c>
      <x:c r="B31" s="17" t="inlineStr">
        <x:is>
          <x:t>Inactive AHB cycles cannot push or pop FIFOs</x:t>
        </x:is>
      </x:c>
      <x:c r="C31" s="17" t="inlineStr">
        <x:is>
          <x:t>Objective: Inactive AHB cycles cannot push or pop FIFOs.
Setup: Known RX queue present; TX expected queue maintained independently; valid register setup.
Stimulus: Drive TBR writes and RBR reads with HSEL=0 or HTRANS=IDLE, then perform valid accesses.
Expected: Unselected/IDLE cycles cause no TX enqueue or RX dequeue; valid transactions still work.
Checker / PASS: TX output count and ordered RBR drain; inactive cycles excluded from scoreboard transactions.
Coverage: HSEL/IDLE gating x TBR/RBR x direction.</x:t>
        </x:is>
      </x:c>
      <x:c r="D31" s="17" t="inlineStr">
        <x:is>
          <x:t>uart_ahb_inactive_fifo_sideeffects_test</x:t>
        </x:is>
      </x:c>
      <x:c r="E31" s="17" t="inlineStr">
        <x:is>
          <x:t>High</x:t>
        </x:is>
      </x:c>
      <x:c r="F31" s="17" t="inlineStr">
        <x:is>
          <x:t>Directed</x:t>
        </x:is>
      </x:c>
      <x:c r="G31" s="17" t="inlineStr">
        <x:is>
          <x:t/>
        </x:is>
      </x:c>
      <x:c r="H31" s="17" t="inlineStr">
        <x:is>
          <x:t>Deferred</x:t>
        </x:is>
      </x:c>
      <x:c r="I31" s="17" t="inlineStr">
        <x:is>
          <x:t>M1</x:t>
        </x:is>
      </x:c>
      <x:c r="J31" s="17" t="inlineStr">
        <x:is>
          <x:t>[Corner] Added 2026-10-24. Spec §1.6.1 AHB-Lite transfer qualification. Extends 2.07 from RW fields to destructive FIFO ports.</x:t>
        </x:is>
      </x:c>
      <x:c r="K31" s="17" t="inlineStr">
        <x:is>
          <x:t>Deferred advanced</x:t>
        </x:is>
      </x:c>
      <x:c r="L31" s="17" t="inlineStr">
        <x:is>
          <x:t>Distinct extended scenario postponed to meet150-test budget; no claim that retained cases fully cover its specific stimulus/checker.</x:t>
        </x:is>
      </x:c>
      <x:c r="M31" s="17" t="inlineStr">
        <x:is>
          <x:t>NY</x:t>
        </x:is>
      </x:c>
    </x:row>
    <x:row r="32" ht="350" customHeight="1">
      <x:c r="A32" s="17" t="inlineStr">
        <x:is>
          <x:t>12.01</x:t>
        </x:is>
      </x:c>
      <x:c r="B32" s="17" t="inlineStr">
        <x:is>
          <x:t>BGE disabled initialization then enable</x:t>
        </x:is>
      </x:c>
      <x:c r="C32" s="17" t="inlineStr">
        <x:is>
          <x:t>Objective: BGE disabled initialization then enable.
Setup: After reset, program legal nonzero divisor and LCR frame with BGE=0; TX empty and RX idle high.
Stimulus: Observe idle interval; enable BGE as in Ch.3, then run one TX and one RX frame for each OSM.
Expected: No unsolicited frame during idle; after enable, serial timing follows divisor*OSM/HCLK and both payloads match.
Checker / PASS: Idle TX monitor plus independent period and data comparisons; does not test queueing or active transfer while BGE=0.
Coverage: BGE0-&gt;1 x OSM x TX/RX.</x:t>
        </x:is>
      </x:c>
      <x:c r="D32" s="17" t="inlineStr">
        <x:is>
          <x:t>uart_baud_enable_from_disabled_test</x:t>
        </x:is>
      </x:c>
      <x:c r="E32" s="17" t="inlineStr">
        <x:is>
          <x:t>High</x:t>
        </x:is>
      </x:c>
      <x:c r="F32" s="17" t="inlineStr">
        <x:is>
          <x:t>Directed</x:t>
        </x:is>
      </x:c>
      <x:c r="G32" s="17" t="inlineStr">
        <x:is>
          <x:t/>
        </x:is>
      </x:c>
      <x:c r="H32" s="17" t="inlineStr">
        <x:is>
          <x:t>Deferred</x:t>
        </x:is>
      </x:c>
      <x:c r="I32" s="17" t="inlineStr">
        <x:is>
          <x:t>M2</x:t>
        </x:is>
      </x:c>
      <x:c r="J32" s="17" t="inlineStr">
        <x:is>
          <x:t>[Normal] Added 2026-10-24. Spec §2.2.4 BGE and Ch.3 initialization.</x:t>
        </x:is>
      </x:c>
      <x:c r="K32" s="17" t="inlineStr">
        <x:is>
          <x:t>Deferred advanced</x:t>
        </x:is>
      </x:c>
      <x:c r="L32" s="17" t="inlineStr">
        <x:is>
          <x:t>Distinct extended scenario postponed to meet150-test budget; no claim that retained cases fully cover its specific stimulus/checker.</x:t>
        </x:is>
      </x:c>
      <x:c r="M32" s="17" t="inlineStr">
        <x:is>
          <x:t>NY</x:t>
        </x:is>
      </x:c>
    </x:row>
    <x:row r="33" ht="350" customHeight="1">
      <x:c r="A33" s="17" t="inlineStr">
        <x:is>
          <x:t>12.02</x:t>
        </x:is>
      </x:c>
      <x:c r="B33" s="17" t="inlineStr">
        <x:is>
          <x:t>Divisor low/high byte carry boundaries</x:t>
        </x:is>
      </x:c>
      <x:c r="C33" s="17" t="inlineStr">
        <x:is>
          <x:t>Objective: Divisor low/high byte carry boundaries.
Setup: TX/RX drained and lines idle; BGE=0 for each programming sequence; HCLK known.
Stimulus: Program divisors 0x00FF,0x0100,0x0101,0xFF00 sequentially; enable and run TX/RX in OSM16/13.
Expected: Measured bit period uses {DLH,DLL}; neither byte swapped nor truncated; payloads match at each setting.
Checker / PASS: Readback plus serial period checker and RBR comparison; derive deadlines from divisor, not nominal baud table.
Coverage: DLL carry boundary x DLH nonzero x OSM x direction.</x:t>
        </x:is>
      </x:c>
      <x:c r="D33" s="17" t="inlineStr">
        <x:is>
          <x:t>uart_baud_divisor_byte_boundaries_test</x:t>
        </x:is>
      </x:c>
      <x:c r="E33" s="17" t="inlineStr">
        <x:is>
          <x:t>High</x:t>
        </x:is>
      </x:c>
      <x:c r="F33" s="17" t="inlineStr">
        <x:is>
          <x:t>Directed</x:t>
        </x:is>
      </x:c>
      <x:c r="G33" s="17" t="inlineStr">
        <x:is>
          <x:t/>
        </x:is>
      </x:c>
      <x:c r="H33" s="17" t="inlineStr">
        <x:is>
          <x:t>Deferred</x:t>
        </x:is>
      </x:c>
      <x:c r="I33" s="17" t="inlineStr">
        <x:is>
          <x:t>M4</x:t>
        </x:is>
      </x:c>
      <x:c r="J33" s="17" t="inlineStr">
        <x:is>
          <x:t>[Corner] Added 2026-10-24. Spec §1.5; §2.2.2–2.2.3. DLL prose says most-significant/LSBs inconsistently; low-byte interpretation follows register names and Ch.3.</x:t>
        </x:is>
      </x:c>
      <x:c r="K33" s="17" t="inlineStr">
        <x:is>
          <x:t>Deferred advanced</x:t>
        </x:is>
      </x:c>
      <x:c r="L33" s="17" t="inlineStr">
        <x:is>
          <x:t>Distinct extended scenario postponed to meet150-test budget; no claim that retained cases fully cover its specific stimulus/checker.</x:t>
        </x:is>
      </x:c>
      <x:c r="M33" s="17" t="inlineStr">
        <x:is>
          <x:t>NY</x:t>
        </x:is>
      </x:c>
    </x:row>
    <x:row r="34" ht="350" customHeight="1">
      <x:c r="A34" s="17" t="inlineStr">
        <x:is>
          <x:t>12.03</x:t>
        </x:is>
      </x:c>
      <x:c r="B34" s="17" t="inlineStr">
        <x:is>
          <x:t>Reconfigure baud and frame between idle sessions</x:t>
        </x:is>
      </x:c>
      <x:c r="C34" s="17" t="inlineStr">
        <x:is>
          <x:t>Objective: Reconfigure baud and frame between idle sessions.
Setup: Finish entire TX frame including stop bits, drain both FIFOs, hold RX idle; disable BGE before each change.
Stimulus: Alternate 8N1/16x, 5O2/13x and 7E1/16x with different legal divisors; update VIP at the same idle boundary; re-enable and send fresh markers.
Expected: Every session uses its new frame format and bit period; no stale old-mode payload or unexpected parity flag.
Checker / PASS: Session-tagged expected queues and timing checker; do not use tx_empty alone to infer serial idle.
Coverage: Old/new OSM x WLS/parity/STB x divisor.</x:t>
        </x:is>
      </x:c>
      <x:c r="D34" s="17" t="inlineStr">
        <x:is>
          <x:t>uart_idle_reconfigure_modes_test</x:t>
        </x:is>
      </x:c>
      <x:c r="E34" s="17" t="inlineStr">
        <x:is>
          <x:t>High</x:t>
        </x:is>
      </x:c>
      <x:c r="F34" s="17" t="inlineStr">
        <x:is>
          <x:t>Directed</x:t>
        </x:is>
      </x:c>
      <x:c r="G34" s="17" t="inlineStr">
        <x:is>
          <x:t/>
        </x:is>
      </x:c>
      <x:c r="H34" s="17" t="inlineStr">
        <x:is>
          <x:t>Deferred</x:t>
        </x:is>
      </x:c>
      <x:c r="I34" s="17" t="inlineStr">
        <x:is>
          <x:t>M4</x:t>
        </x:is>
      </x:c>
      <x:c r="J34" s="17" t="inlineStr">
        <x:is>
          <x:t>[Normal] Added 2026-10-24. Spec Ch.3 configuration; §1.5/§2.2.4. Safe idle boundary avoids unspecified live-update behavior.</x:t>
        </x:is>
      </x:c>
      <x:c r="K34" s="17" t="inlineStr">
        <x:is>
          <x:t>Deferred advanced</x:t>
        </x:is>
      </x:c>
      <x:c r="L34" s="17" t="inlineStr">
        <x:is>
          <x:t>Distinct extended scenario postponed to meet150-test budget; no claim that retained cases fully cover its specific stimulus/checker.</x:t>
        </x:is>
      </x:c>
      <x:c r="M34" s="17" t="inlineStr">
        <x:is>
          <x:t>NY</x:t>
        </x:is>
      </x:c>
    </x:row>
    <x:row r="35" ht="350" customHeight="1">
      <x:c r="A35" s="17" t="inlineStr">
        <x:is>
          <x:t>12.04</x:t>
        </x:is>
      </x:c>
      <x:c r="B35" s="17" t="inlineStr">
        <x:is>
          <x:t>RX asynchronous start phase sweep</x:t>
        </x:is>
      </x:c>
      <x:c r="C35" s="17" t="inlineStr">
        <x:is>
          <x:t>Objective: RX asynchronous start phase sweep.
Setup: Known legal bit period; moderate divisor; OSM16/13; stable 8E1 and RX idle high.
Stimulus: Sweep RX falling start edge across HCLK and BCLK phases using fractional-clock delays; send valid 0x01,0x80,0xA6 at exactly programmed baud; drain before overflow.
Expected: All valid frames decode under the WLS mask without parity error regardless of asynchronous start alignment.
Checker / PASS: Independent serial source timing vs RBR comparisons; bins derived from actual BCLK phase if visible, otherwise label external relative phase only.
Coverage: Start phase x OSM x data transition pattern.</x:t>
        </x:is>
      </x:c>
      <x:c r="D35" s="17" t="inlineStr">
        <x:is>
          <x:t>uart_rx_async_start_phase_test</x:t>
        </x:is>
      </x:c>
      <x:c r="E35" s="17" t="inlineStr">
        <x:is>
          <x:t>High</x:t>
        </x:is>
      </x:c>
      <x:c r="F35" s="17" t="inlineStr">
        <x:is>
          <x:t>Directed</x:t>
        </x:is>
      </x:c>
      <x:c r="G35" s="17" t="inlineStr">
        <x:is>
          <x:t/>
        </x:is>
      </x:c>
      <x:c r="H35" s="17" t="inlineStr">
        <x:is>
          <x:t>Deferred</x:t>
        </x:is>
      </x:c>
      <x:c r="I35" s="17" t="inlineStr">
        <x:is>
          <x:t>M4</x:t>
        </x:is>
      </x:c>
      <x:c r="J35" s="17" t="inlineStr">
        <x:is>
          <x:t>[Corner] Added 2026-10-24. Spec §1.5 sampling at 8th BCLK for 16x, 6th for 13x; UART asynchronous input. No baud-mismatch tolerance assumed.</x:t>
        </x:is>
      </x:c>
      <x:c r="K35" s="17" t="inlineStr">
        <x:is>
          <x:t>Deferred advanced</x:t>
        </x:is>
      </x:c>
      <x:c r="L35" s="17" t="inlineStr">
        <x:is>
          <x:t>Distinct extended scenario postponed to meet150-test budget; no claim that retained cases fully cover its specific stimulus/checker.</x:t>
        </x:is>
      </x:c>
      <x:c r="M35" s="17" t="inlineStr">
        <x:is>
          <x:t>NY</x:t>
        </x:is>
      </x:c>
    </x:row>
    <x:row r="36" ht="350" customHeight="1">
      <x:c r="A36" s="17" t="inlineStr">
        <x:is>
          <x:t>13.02</x:t>
        </x:is>
      </x:c>
      <x:c r="B36" s="17" t="inlineStr">
        <x:is>
          <x:t>RX walking bits and short-word stale-bit isolation</x:t>
        </x:is>
      </x:c>
      <x:c r="C36" s="17" t="inlineStr">
        <x:is>
          <x:t>Objective: RX walking bits and short-word stale-bit isolation.
Setup: Sweep WLS5..8 and OSM16/13; valid N1 frame; change WLS only at idle with BGE disabled.
Stimulus: Receive walking-one/walking-zero, 0x55/0xAA masked to width; precede shorter-width session with received 0xFF in 8-bit mode.
Expected: Every active data bit is reconstructed correctly; no stale previous byte affects active WLS bits. Unused RBR upper bits are masked.
Checker / PASS: Independent low-WLS-bit RBR comparison with exactly one read per accepted frame; inspect upper bits only as observations.
Coverage: Active bit index x zero/one x WLS x previous width x OSM.</x:t>
        </x:is>
      </x:c>
      <x:c r="D36" s="17" t="inlineStr">
        <x:is>
          <x:t>uart_rx_walking_patterns_test</x:t>
        </x:is>
      </x:c>
      <x:c r="E36" s="17" t="inlineStr">
        <x:is>
          <x:t>High</x:t>
        </x:is>
      </x:c>
      <x:c r="F36" s="17" t="inlineStr">
        <x:is>
          <x:t>Directed</x:t>
        </x:is>
      </x:c>
      <x:c r="G36" s="17" t="inlineStr">
        <x:is>
          <x:t/>
        </x:is>
      </x:c>
      <x:c r="H36" s="17" t="inlineStr">
        <x:is>
          <x:t>Deferred</x:t>
        </x:is>
      </x:c>
      <x:c r="I36" s="17" t="inlineStr">
        <x:is>
          <x:t>M3</x:t>
        </x:is>
      </x:c>
      <x:c r="J36" s="17" t="inlineStr">
        <x:is>
          <x:t>[Normal] Added 2026-10-24. Spec §1.6.2 and §2.2.4/2.2.8; unused short-word RX bits are unspecified.</x:t>
        </x:is>
      </x:c>
      <x:c r="K36" s="17" t="inlineStr">
        <x:is>
          <x:t>Deferred advanced</x:t>
        </x:is>
      </x:c>
      <x:c r="L36" s="17" t="inlineStr">
        <x:is>
          <x:t>Distinct extended scenario postponed to meet150-test budget; no claim that retained cases fully cover its specific stimulus/checker.</x:t>
        </x:is>
      </x:c>
      <x:c r="M36" s="17" t="inlineStr">
        <x:is>
          <x:t>NY</x:t>
        </x:is>
      </x:c>
    </x:row>
    <x:row r="37" ht="350" customHeight="1">
      <x:c r="A37" s="17" t="inlineStr">
        <x:is>
          <x:t>13.03</x:t>
        </x:is>
      </x:c>
      <x:c r="B37" s="17" t="inlineStr">
        <x:is>
          <x:t>Valid parity must exercise both bit values</x:t>
        </x:is>
      </x:c>
      <x:c r="C37" s="17" t="inlineStr">
        <x:is>
          <x:t>Objective: Valid parity must exercise both bit values.
Setup: Sweep WLS5..8, EPS odd/even, STB1/2 and OSM16/13 with PEN=1.
Stimulus: Run TX then RX with masked payloads 0x00,0x01,all-active-ones and alternating patterns; include even and odd data popcounts.
Expected: Both parity=0 and parity=1 are generated/accepted for each parity mode; no parity status asserts on valid frames.
Checker / PASS: Reference parity XOR uses active data bits only; serial TX checks plus valid RX data and FSR checks.
Coverage: Direction x WLS x EPS x parity bit0/1 x STB x OSM.</x:t>
        </x:is>
      </x:c>
      <x:c r="D37" s="17" t="inlineStr">
        <x:is>
          <x:t>uart_parity_value_patterns_test</x:t>
        </x:is>
      </x:c>
      <x:c r="E37" s="17" t="inlineStr">
        <x:is>
          <x:t>High</x:t>
        </x:is>
      </x:c>
      <x:c r="F37" s="17" t="inlineStr">
        <x:is>
          <x:t>Directed</x:t>
        </x:is>
      </x:c>
      <x:c r="G37" s="17" t="inlineStr">
        <x:is>
          <x:t/>
        </x:is>
      </x:c>
      <x:c r="H37" s="17" t="inlineStr">
        <x:is>
          <x:t>Deferred</x:t>
        </x:is>
      </x:c>
      <x:c r="I37" s="17" t="inlineStr">
        <x:is>
          <x:t>M4</x:t>
        </x:is>
      </x:c>
      <x:c r="J37" s="17" t="inlineStr">
        <x:is>
          <x:t>[Normal] Added 2026-10-24. Spec §2.2.4 parity equation. Existing format matrix mostly uses one payload per format.</x:t>
        </x:is>
      </x:c>
      <x:c r="K37" s="17" t="inlineStr">
        <x:is>
          <x:t>Deferred advanced</x:t>
        </x:is>
      </x:c>
      <x:c r="L37" s="17" t="inlineStr">
        <x:is>
          <x:t>Distinct extended scenario postponed to meet150-test budget; no claim that retained cases fully cover its specific stimulus/checker.</x:t>
        </x:is>
      </x:c>
      <x:c r="M37" s="17" t="inlineStr">
        <x:is>
          <x:t>NY</x:t>
        </x:is>
      </x:c>
    </x:row>
    <x:row r="38" ht="350" customHeight="1">
      <x:c r="A38" s="17" t="inlineStr">
        <x:is>
          <x:t>13.04</x:t>
        </x:is>
      </x:c>
      <x:c r="B38" s="17" t="inlineStr">
        <x:is>
          <x:t>TX ignores EPS when parity is disabled</x:t>
        </x:is>
      </x:c>
      <x:c r="C38" s="17" t="inlineStr">
        <x:is>
          <x:t>Objective: TX ignores EPS when parity is disabled.
Setup: PEN=0; sweep WLS5..8 and STB1/2 in OSM16/13; configure only between idle sessions.
Stimulus: Transmit the same payload once with EPS=0 and once with EPS=1.
Expected: Both frames have the same active data and stop interval, with no inserted parity bit.
Checker / PASS: Compare pin-level data/length against independent no-parity frame model; cover a queued next frame to expose extra-bit insertion.
Coverage: TX PEN0 x EPS0/1 x WLS x STB x OSM.</x:t>
        </x:is>
      </x:c>
      <x:c r="D38" s="17" t="inlineStr">
        <x:is>
          <x:t>uart_tx_pen0_eps_independent_test</x:t>
        </x:is>
      </x:c>
      <x:c r="E38" s="17" t="inlineStr">
        <x:is>
          <x:t>High</x:t>
        </x:is>
      </x:c>
      <x:c r="F38" s="17" t="inlineStr">
        <x:is>
          <x:t>Directed</x:t>
        </x:is>
      </x:c>
      <x:c r="G38" s="17" t="inlineStr">
        <x:is>
          <x:t/>
        </x:is>
      </x:c>
      <x:c r="H38" s="17" t="inlineStr">
        <x:is>
          <x:t>Deferred</x:t>
        </x:is>
      </x:c>
      <x:c r="I38" s="17" t="inlineStr">
        <x:is>
          <x:t>M2</x:t>
        </x:is>
      </x:c>
      <x:c r="J38" s="17" t="inlineStr">
        <x:is>
          <x:t>[Normal] Added 2026-10-24. Spec §2.2.4 EPS applies only when PEN=1. Complements existing RX case 8.05.</x:t>
        </x:is>
      </x:c>
      <x:c r="K38" s="17" t="inlineStr">
        <x:is>
          <x:t>Deferred advanced</x:t>
        </x:is>
      </x:c>
      <x:c r="L38" s="17" t="inlineStr">
        <x:is>
          <x:t>Distinct extended scenario postponed to meet150-test budget; no claim that retained cases fully cover its specific stimulus/checker.</x:t>
        </x:is>
      </x:c>
      <x:c r="M38" s="17" t="inlineStr">
        <x:is>
          <x:t>NY</x:t>
        </x:is>
      </x:c>
    </x:row>
    <x:row r="39" ht="350" customHeight="1">
      <x:c r="A39" s="17" t="inlineStr">
        <x:is>
          <x:t>13.05</x:t>
        </x:is>
      </x:c>
      <x:c r="B39" s="17" t="inlineStr">
        <x:is>
          <x:t>Idle line and traffic restart after long gaps</x:t>
        </x:is>
      </x:c>
      <x:c r="C39" s="17" t="inlineStr">
        <x:is>
          <x:t>Objective: Idle line and traffic restart after long gaps.
Setup: Valid UART configuration; no queued TX; RX high; both FIFOs drained.
Stimulus: Observe several frame times without traffic; send valid TX/RX markers separated by short and long idle-high gaps.
Expected: TX remains high while idle; idle RX creates no byte or parity fault; every marker after a gap is handled once.
Checker / PASS: Pin-level idle monitor, FSR empty checks and exact data counts; exclude reset/BGE transition intervals from steady-state idle checks.
Coverage: Direction x short/long idle gap x restart.</x:t>
        </x:is>
      </x:c>
      <x:c r="D39" s="17" t="inlineStr">
        <x:is>
          <x:t>uart_serial_idle_gaps_test</x:t>
        </x:is>
      </x:c>
      <x:c r="E39" s="17" t="inlineStr">
        <x:is>
          <x:t>High</x:t>
        </x:is>
      </x:c>
      <x:c r="F39" s="17" t="inlineStr">
        <x:is>
          <x:t>Directed</x:t>
        </x:is>
      </x:c>
      <x:c r="G39" s="17" t="inlineStr">
        <x:is>
          <x:t/>
        </x:is>
      </x:c>
      <x:c r="H39" s="17" t="inlineStr">
        <x:is>
          <x:t>Deferred</x:t>
        </x:is>
      </x:c>
      <x:c r="I39" s="17" t="inlineStr">
        <x:is>
          <x:t>M4</x:t>
        </x:is>
      </x:c>
      <x:c r="J39" s="17" t="inlineStr">
        <x:is>
          <x:t>[Normal] Added 2026-10-24. Spec §1.6.2 frame/start/stop format and Fig.1-2 idle level; §1.7 operation.</x:t>
        </x:is>
      </x:c>
      <x:c r="K39" s="17" t="inlineStr">
        <x:is>
          <x:t>Deferred advanced</x:t>
        </x:is>
      </x:c>
      <x:c r="L39" s="17" t="inlineStr">
        <x:is>
          <x:t>Distinct extended scenario postponed to meet150-test budget; no claim that retained cases fully cover its specific stimulus/checker.</x:t>
        </x:is>
      </x:c>
      <x:c r="M39" s="17" t="inlineStr">
        <x:is>
          <x:t>NY</x:t>
        </x:is>
      </x:c>
    </x:row>
    <x:row r="40" ht="350" customHeight="1">
      <x:c r="A40" s="17" t="inlineStr">
        <x:is>
          <x:t>14.03</x:t>
        </x:is>
      </x:c>
      <x:c r="B40" s="17" t="inlineStr">
        <x:is>
          <x:t>TX enqueue concurrent with FIFO dequeue</x:t>
        </x:is>
      </x:c>
      <x:c r="C40" s="17" t="inlineStr">
        <x:is>
          <x:t>Objective: TX enqueue concurrent with FIFO dequeue.
Setup: Create stable partial TX occupancy 2..14 and legal baud; use observable tx_wr/tx_rd for alignment if available.
Stimulus: Schedule TBR writes around TX dequeue; hit same-HCLK push/pop plus one clock before/after while avoiding full/empty prestate.
Expected: Concurrent interior push/pop preserves queue count and ordering; no overwrite or duplicated emitted byte.
Checker / PASS: Port-event monitor identifies true coincidence and computes accepted events; pin-only run must report same-cycle coverage unhit if not proven.
Coverage: Interior occupancy x push/pop relative phase -1/0/+1.</x:t>
        </x:is>
      </x:c>
      <x:c r="D40" s="17" t="inlineStr">
        <x:is>
          <x:t>uart_fifo_tx_simultaneous_interior_test</x:t>
        </x:is>
      </x:c>
      <x:c r="E40" s="17" t="inlineStr">
        <x:is>
          <x:t>High</x:t>
        </x:is>
      </x:c>
      <x:c r="F40" s="17" t="inlineStr">
        <x:is>
          <x:t>Directed</x:t>
        </x:is>
      </x:c>
      <x:c r="G40" s="17" t="inlineStr">
        <x:is>
          <x:t/>
        </x:is>
      </x:c>
      <x:c r="H40" s="17" t="inlineStr">
        <x:is>
          <x:t>Deferred</x:t>
        </x:is>
      </x:c>
      <x:c r="I40" s="17" t="inlineStr">
        <x:is>
          <x:t>M4</x:t>
        </x:is>
      </x:c>
      <x:c r="J40" s="17" t="inlineStr">
        <x:is>
          <x:t>[Corner] Added 2026-10-24. Derived from §1.7.1 independent CPU enqueue and transmitter dequeue. Full/empty collision policy is tracked in 17.10.</x:t>
        </x:is>
      </x:c>
      <x:c r="K40" s="17" t="inlineStr">
        <x:is>
          <x:t>Deferred advanced</x:t>
        </x:is>
      </x:c>
      <x:c r="L40" s="17" t="inlineStr">
        <x:is>
          <x:t>Distinct extended scenario postponed to meet150-test budget; no claim that retained cases fully cover its specific stimulus/checker.</x:t>
        </x:is>
      </x:c>
      <x:c r="M40" s="17" t="inlineStr">
        <x:is>
          <x:t>NY</x:t>
        </x:is>
      </x:c>
    </x:row>
    <x:row r="41" ht="350" customHeight="1">
      <x:c r="A41" s="17" t="inlineStr">
        <x:is>
          <x:t>14.04</x:t>
        </x:is>
      </x:c>
      <x:c r="B41" s="17" t="inlineStr">
        <x:is>
          <x:t>RX read concurrent with received-byte enqueue</x:t>
        </x:is>
      </x:c>
      <x:c r="C41" s="17" t="inlineStr">
        <x:is>
          <x:t>Objective: RX read concurrent with received-byte enqueue.
Setup: Known partial RX occupancy 2..14; serial frame ending near an AHB RBR access.
Stimulus: Align completed RBR dequeue with RX FIFO enqueue at -1/0/+1 HCLK; repeat through pointer wrap.
Expected: Read returns oldest queued active data; new byte remains in order; interior simultaneous enqueue/dequeue preserves count.
Checker / PASS: Observe rx_rd/rx_wr for exact collision bin when visible; separate AHB completion from actual FIFO pop; compare eventual entire queue.
Coverage: Interior occupancy x RX push/AHB pop phase x wrap.</x:t>
        </x:is>
      </x:c>
      <x:c r="D41" s="17" t="inlineStr">
        <x:is>
          <x:t>uart_fifo_rx_simultaneous_interior_test</x:t>
        </x:is>
      </x:c>
      <x:c r="E41" s="17" t="inlineStr">
        <x:is>
          <x:t>High</x:t>
        </x:is>
      </x:c>
      <x:c r="F41" s="17" t="inlineStr">
        <x:is>
          <x:t>Directed</x:t>
        </x:is>
      </x:c>
      <x:c r="G41" s="17" t="inlineStr">
        <x:is>
          <x:t/>
        </x:is>
      </x:c>
      <x:c r="H41" s="17" t="inlineStr">
        <x:is>
          <x:t>Deferred</x:t>
        </x:is>
      </x:c>
      <x:c r="I41" s="17" t="inlineStr">
        <x:is>
          <x:t>M4</x:t>
        </x:is>
      </x:c>
      <x:c r="J41" s="17" t="inlineStr">
        <x:is>
          <x:t>[Corner] Added 2026-10-24. Derived from §1.7.2. AHB data phase completion need not coincide with internal pop; full/empty policy pending in 17.10.</x:t>
        </x:is>
      </x:c>
      <x:c r="K41" s="17" t="inlineStr">
        <x:is>
          <x:t>Deferred advanced</x:t>
        </x:is>
      </x:c>
      <x:c r="L41" s="17" t="inlineStr">
        <x:is>
          <x:t>Distinct extended scenario postponed to meet150-test budget; no claim that retained cases fully cover its specific stimulus/checker.</x:t>
        </x:is>
      </x:c>
      <x:c r="M41" s="17" t="inlineStr">
        <x:is>
          <x:t>NY</x:t>
        </x:is>
      </x:c>
    </x:row>
    <x:row r="42" ht="350" customHeight="1">
      <x:c r="A42" s="17" t="inlineStr">
        <x:is>
          <x:t>14.05</x:t>
        </x:is>
      </x:c>
      <x:c r="B42" s="17" t="inlineStr">
        <x:is>
          <x:t>RX recovers after repeated reads while empty</x:t>
        </x:is>
      </x:c>
      <x:c r="C42" s="17" t="inlineStr">
        <x:is>
          <x:t>Objective: RX recovers after repeated reads while empty.
Setup: Reset; confirm RX empty; no active frame.
Stimulus: Issue more than16 RBR reads while empty; then receive16 distinct valid frames and drain them all.
Expected: Empty reads have undefined data and do not corrupt FIFO state; later16 bytes are received/read exactly once, full then empty statuses work.
Checker / PASS: Suppress data comparison only for known empty reads; require full data/count comparison after valid receives.
Coverage: Repeated empty pop x later full capacity x recovery.</x:t>
        </x:is>
      </x:c>
      <x:c r="D42" s="17" t="inlineStr">
        <x:is>
          <x:t>uart_fifo_rx_underflow_recovery_test</x:t>
        </x:is>
      </x:c>
      <x:c r="E42" s="17" t="inlineStr">
        <x:is>
          <x:t>High</x:t>
        </x:is>
      </x:c>
      <x:c r="F42" s="17" t="inlineStr">
        <x:is>
          <x:t>Directed</x:t>
        </x:is>
      </x:c>
      <x:c r="G42" s="17" t="inlineStr">
        <x:is>
          <x:t/>
        </x:is>
      </x:c>
      <x:c r="H42" s="17" t="inlineStr">
        <x:is>
          <x:t>Deferred</x:t>
        </x:is>
      </x:c>
      <x:c r="I42" s="17" t="inlineStr">
        <x:is>
          <x:t>M4</x:t>
        </x:is>
      </x:c>
      <x:c r="J42" s="17" t="inlineStr">
        <x:is>
          <x:t>[Corner] Added 2026-10-24. Spec §1.7.3 undefined empty data; §1.2/§1.7.2 FIFO functional recovery. Extends one empty read in 6.08.</x:t>
        </x:is>
      </x:c>
      <x:c r="K42" s="17" t="inlineStr">
        <x:is>
          <x:t>Deferred advanced</x:t>
        </x:is>
      </x:c>
      <x:c r="L42" s="17" t="inlineStr">
        <x:is>
          <x:t>Distinct extended scenario postponed to meet150-test budget; no claim that retained cases fully cover its specific stimulus/checker.</x:t>
        </x:is>
      </x:c>
      <x:c r="M42" s="17" t="inlineStr">
        <x:is>
          <x:t>NY</x:t>
        </x:is>
      </x:c>
    </x:row>
    <x:row r="43" ht="350" customHeight="1">
      <x:c r="A43" s="17" t="inlineStr">
        <x:is>
          <x:t>14.06</x:t>
        </x:is>
      </x:c>
      <x:c r="B43" s="17" t="inlineStr">
        <x:is>
          <x:t>Long bounded random traffic and backpressure</x:t>
        </x:is>
      </x:c>
      <x:c r="C43" s="17" t="inlineStr">
        <x:is>
          <x:t>Objective: Long bounded random traffic and backpressure.
Setup: Stable legal configuration per run; separate TX-only and RX-only runs; occupancy model limits FIFO to0..16.
Stimulus: Randomize payloads, AHB idle gaps, TX write batches and RX read delays for &gt;=256 bytes/direction; repeat seeds and selected formats/OSM; avoid unspecified overflow cases.
Expected: All accepted data compares in order, no deadlock or unexpected byte; run ends with expected queues empty and completed frames.
Checker / PASS: Two independent data queues, finite progress timeout from frame duration, coverage of occupancy0/1/15/16 and read/write gaps; serialize directions unless duplex approved.
Coverage: Direction x occupancy boundaries x traffic gaps x format x OSM x seed.</x:t>
        </x:is>
      </x:c>
      <x:c r="D43" s="17" t="inlineStr">
        <x:is>
          <x:t>uart_fifo_bounded_random_stream_test</x:t>
        </x:is>
      </x:c>
      <x:c r="E43" s="17" t="inlineStr">
        <x:is>
          <x:t>High</x:t>
        </x:is>
      </x:c>
      <x:c r="F43" s="17" t="inlineStr">
        <x:is>
          <x:t>Random</x:t>
        </x:is>
      </x:c>
      <x:c r="G43" s="17" t="inlineStr">
        <x:is>
          <x:t/>
        </x:is>
      </x:c>
      <x:c r="H43" s="17" t="inlineStr">
        <x:is>
          <x:t>Deferred</x:t>
        </x:is>
      </x:c>
      <x:c r="I43" s="17" t="inlineStr">
        <x:is>
          <x:t>M4</x:t>
        </x:is>
      </x:c>
      <x:c r="J43" s="17" t="inlineStr">
        <x:is>
          <x:t>[Corner] Added 2026-10-24. Spec §1.2/§1.7 legal operation. Random stress supplements directed cases.</x:t>
        </x:is>
      </x:c>
      <x:c r="K43" s="17" t="inlineStr">
        <x:is>
          <x:t>Deferred advanced</x:t>
        </x:is>
      </x:c>
      <x:c r="L43" s="17" t="inlineStr">
        <x:is>
          <x:t>Distinct extended scenario postponed to meet150-test budget; no claim that retained cases fully cover its specific stimulus/checker.</x:t>
        </x:is>
      </x:c>
      <x:c r="M43" s="17" t="inlineStr">
        <x:is>
          <x:t>NY</x:t>
        </x:is>
      </x:c>
    </x:row>
    <x:row r="44" ht="350" customHeight="1">
      <x:c r="A44" s="17" t="inlineStr">
        <x:is>
          <x:t>15.01</x:t>
        </x:is>
      </x:c>
      <x:c r="B44" s="17" t="inlineStr">
        <x:is>
          <x:t>Interrupt source enabled before FIFO transition</x:t>
        </x:is>
      </x:c>
      <x:c r="C44" s="17" t="inlineStr">
        <x:is>
          <x:t>Objective: Interrupt source enabled before FIFO transition.
Setup: For each FIFO source, first establish inactive target status; mask other sources; enable target IER bit before traffic.
Stimulus: Drive the source active, remove it using documented FIFO activity, then recreate it; repeat TX/RX full/empty.
Expected: IRQ asserts/deasserts/reasserts with enabled source condition; no need to rewrite IER to recognize a new event.
Checker / PASS: FSR transition model and IRQ pin monitor; allow implementation settling without inventing fixed latency; bound completion from traffic.
Coverage: FIFO source x enable-before-event x assert/clear/reassert.</x:t>
        </x:is>
      </x:c>
      <x:c r="D44" s="17" t="inlineStr">
        <x:is>
          <x:t>uart_irq_enable_before_event_test</x:t>
        </x:is>
      </x:c>
      <x:c r="E44" s="17" t="inlineStr">
        <x:is>
          <x:t>High</x:t>
        </x:is>
      </x:c>
      <x:c r="F44" s="17" t="inlineStr">
        <x:is>
          <x:t>Directed</x:t>
        </x:is>
      </x:c>
      <x:c r="G44" s="17" t="inlineStr">
        <x:is>
          <x:t/>
        </x:is>
      </x:c>
      <x:c r="H44" s="17" t="inlineStr">
        <x:is>
          <x:t>Deferred</x:t>
        </x:is>
      </x:c>
      <x:c r="I44" s="17" t="inlineStr">
        <x:is>
          <x:t>M4</x:t>
        </x:is>
      </x:c>
      <x:c r="J44" s="17" t="inlineStr">
        <x:is>
          <x:t>[Normal] Added 2026-10-24. Spec §1.7.1–1.7.2; §2.2.5–2.2.6. Existing7.01–7.08 mainly enable/mask after active status.</x:t>
        </x:is>
      </x:c>
      <x:c r="K44" s="17" t="inlineStr">
        <x:is>
          <x:t>Deferred advanced</x:t>
        </x:is>
      </x:c>
      <x:c r="L44" s="17" t="inlineStr">
        <x:is>
          <x:t>Distinct extended scenario postponed to meet150-test budget; no claim that retained cases fully cover its specific stimulus/checker.</x:t>
        </x:is>
      </x:c>
      <x:c r="M44" s="17" t="inlineStr">
        <x:is>
          <x:t>NY</x:t>
        </x:is>
      </x:c>
    </x:row>
    <x:row r="45" ht="350" customHeight="1">
      <x:c r="A45" s="17" t="inlineStr">
        <x:is>
          <x:t>15.02</x:t>
        </x:is>
      </x:c>
      <x:c r="B45" s="17" t="inlineStr">
        <x:is>
          <x:t>Mask and unmask an already active source</x:t>
        </x:is>
      </x:c>
      <x:c r="C45" s="17" t="inlineStr">
        <x:is>
          <x:t>Objective: Mask and unmask an already active source.
Setup: Prove one stable active FIFO or sticky parity source, with other sources masked.
Stimulus: Set target IER bit1-&gt;0-&gt;1 while its status remains active; repeat five sources.
Expected: IRQ follows enable mask; masking never clears FSR source; re-enabling active status restores IRQ.
Checker / PASS: Independent IER/FSR/IRQ correlation; maintain source long enough to separate real source removal from mask change.
Coverage: Source0..4 x runtime enable0/1 x stable active status.</x:t>
        </x:is>
      </x:c>
      <x:c r="D45" s="17" t="inlineStr">
        <x:is>
          <x:t>uart_irq_runtime_mask_test</x:t>
        </x:is>
      </x:c>
      <x:c r="E45" s="17" t="inlineStr">
        <x:is>
          <x:t>High</x:t>
        </x:is>
      </x:c>
      <x:c r="F45" s="17" t="inlineStr">
        <x:is>
          <x:t>Directed</x:t>
        </x:is>
      </x:c>
      <x:c r="G45" s="17" t="inlineStr">
        <x:is>
          <x:t/>
        </x:is>
      </x:c>
      <x:c r="H45" s="17" t="inlineStr">
        <x:is>
          <x:t>Deferred</x:t>
        </x:is>
      </x:c>
      <x:c r="I45" s="17" t="inlineStr">
        <x:is>
          <x:t>M4</x:t>
        </x:is>
      </x:c>
      <x:c r="J45" s="17" t="inlineStr">
        <x:is>
          <x:t>[Corner] Added 2026-10-24. Spec §2.2.5 enable bits and §2.2.6 independent status.</x:t>
        </x:is>
      </x:c>
      <x:c r="K45" s="17" t="inlineStr">
        <x:is>
          <x:t>Deferred advanced</x:t>
        </x:is>
      </x:c>
      <x:c r="L45" s="17" t="inlineStr">
        <x:is>
          <x:t>Distinct extended scenario postponed to meet150-test budget; no claim that retained cases fully cover its specific stimulus/checker.</x:t>
        </x:is>
      </x:c>
      <x:c r="M45" s="17" t="inlineStr">
        <x:is>
          <x:t>NY</x:t>
        </x:is>
      </x:c>
    </x:row>
    <x:row r="46" ht="350" customHeight="1">
      <x:c r="A46" s="17" t="inlineStr">
        <x:is>
          <x:t>15.04</x:t>
        </x:is>
      </x:c>
      <x:c r="B46" s="17" t="inlineStr">
        <x:is>
          <x:t>Parity IRQ servicing and status-read side effects</x:t>
        </x:is>
      </x:c>
      <x:c r="C46" s="17" t="inlineStr">
        <x:is>
          <x:t>Objective: Parity IRQ servicing and status-read side effects.
Setup: IER=0x10; parity enabled; inject one mismatch; confirm FSR.bit4=1 and IRQ high; no further bad frame during clear.
Stimulus: Read FSR repeatedly; write FSR.bit4=0; then write bit4=1; finally inject a fresh mismatch.
Expected: Reads and write0 preserve flag/IRQ; W1C clears flag and sole IRQ; a fresh error reasserts both.
Checker / PASS: FSR W1C reference state plus IRQ monitor, not status-only checking; isolate other enabled sources.
Coverage: Parity IRQ x read/write0/write1 x fresh event.</x:t>
        </x:is>
      </x:c>
      <x:c r="D46" s="17" t="inlineStr">
        <x:is>
          <x:t>uart_irq_parity_w1c_service_test</x:t>
        </x:is>
      </x:c>
      <x:c r="E46" s="17" t="inlineStr">
        <x:is>
          <x:t>High</x:t>
        </x:is>
      </x:c>
      <x:c r="F46" s="17" t="inlineStr">
        <x:is>
          <x:t>Directed</x:t>
        </x:is>
      </x:c>
      <x:c r="G46" s="17" t="inlineStr">
        <x:is>
          <x:t/>
        </x:is>
      </x:c>
      <x:c r="H46" s="17" t="inlineStr">
        <x:is>
          <x:t>Deferred</x:t>
        </x:is>
      </x:c>
      <x:c r="I46" s="17" t="inlineStr">
        <x:is>
          <x:t>M4</x:t>
        </x:is>
      </x:c>
      <x:c r="J46" s="17" t="inlineStr">
        <x:is>
          <x:t>[Corner] Added 2026-10-24. Spec §2.2.5 parity enable; §2.2.6 R/W1C. Extends8.04 with interrupt and read-side-effect checks.</x:t>
        </x:is>
      </x:c>
      <x:c r="K46" s="17" t="inlineStr">
        <x:is>
          <x:t>Deferred advanced</x:t>
        </x:is>
      </x:c>
      <x:c r="L46" s="17" t="inlineStr">
        <x:is>
          <x:t>Distinct extended scenario postponed to meet150-test budget; no claim that retained cases fully cover its specific stimulus/checker.</x:t>
        </x:is>
      </x:c>
      <x:c r="M46" s="17" t="inlineStr">
        <x:is>
          <x:t>NY</x:t>
        </x:is>
      </x:c>
    </x:row>
    <x:row r="47" ht="350" customHeight="1">
      <x:c r="A47" s="17" t="inlineStr">
        <x:is>
          <x:t>16.01</x:t>
        </x:is>
      </x:c>
      <x:c r="B47" s="17" t="inlineStr">
        <x:is>
          <x:t>Parity mismatch across widths and both sampling modes</x:t>
        </x:is>
      </x:c>
      <x:c r="C47" s="17" t="inlineStr">
        <x:is>
          <x:t>Objective: Parity mismatch across widths and both sampling modes.
Setup: Sweep WLS5..8, EPS0/1, STB1/2 and OSM16/13; legal nonzero divisor; clear parity status before each trial.
Stimulus: Use payloads whose correct parity bit is0 and1; invert only parity, keep data/start/stop valid; read FSR, W1C, and send a clean recovery frame.
Expected: Each mismatch sets parity status; write1 clears it; clean frame is decoded without a new error. Do not impose bad-frame retention/discard policy.
Checker / PASS: Independent active-width XOR oracle; FSR mismatch/clear checks and low-WLS clean-recovery RBR comparison after reset/drain as required.
Coverage: WLS x EPS x correct parity0/1 x STB x OSM x recovery.</x:t>
        </x:is>
      </x:c>
      <x:c r="D47" s="17" t="inlineStr">
        <x:is>
          <x:t>uart_parity_error_format_sweep_test</x:t>
        </x:is>
      </x:c>
      <x:c r="E47" s="17" t="inlineStr">
        <x:is>
          <x:t>High</x:t>
        </x:is>
      </x:c>
      <x:c r="F47" s="17" t="inlineStr">
        <x:is>
          <x:t>Directed</x:t>
        </x:is>
      </x:c>
      <x:c r="G47" s="17" t="inlineStr">
        <x:is>
          <x:t/>
        </x:is>
      </x:c>
      <x:c r="H47" s="17" t="inlineStr">
        <x:is>
          <x:t>Deferred</x:t>
        </x:is>
      </x:c>
      <x:c r="I47" s="17" t="inlineStr">
        <x:is>
          <x:t>M4</x:t>
        </x:is>
      </x:c>
      <x:c r="J47" s="17" t="inlineStr">
        <x:is>
          <x:t>[Corner] Added 2026-10-24. Spec §2.2.4 parity checking; §2.2.6 W1C. Existing8.01/8.02 inject only8-bit16x errors.</x:t>
        </x:is>
      </x:c>
      <x:c r="K47" s="17" t="inlineStr">
        <x:is>
          <x:t>Deferred advanced</x:t>
        </x:is>
      </x:c>
      <x:c r="L47" s="17" t="inlineStr">
        <x:is>
          <x:t>Distinct extended scenario postponed to meet150-test budget; no claim that retained cases fully cover its specific stimulus/checker.</x:t>
        </x:is>
      </x:c>
      <x:c r="M47" s="17" t="inlineStr">
        <x:is>
          <x:t>NY</x:t>
        </x:is>
      </x:c>
    </x:row>
    <x:row r="48" ht="350" customHeight="1">
      <x:c r="A48" s="17" t="inlineStr">
        <x:is>
          <x:t>17.01</x:t>
        </x:is>
      </x:c>
      <x:c r="B48" s="17" t="inlineStr">
        <x:is>
          <x:t>RX frame arrives while RX FIFO is full</x:t>
        </x:is>
      </x:c>
      <x:c r="C48" s="17" t="inlineStr">
        <x:is>
          <x:t>Objective: RX frame arrives while RX FIFO is full.
Setup: Fill RX with16 tagged bytes; confirm full and stop AHB reads.
Stimulus: Drive17th and18th frames at full; later drain, log contents/status, then reset and verify clean recovery.
Expected: Observe discard-new/overwrite/other policy; spec does not define RX overflow data acceptance or overrun flag. Never hard-code a retained queue before clarification.
Checker / PASS: Record full-state bytes and IRQ/FSR; post-reset normal traffic is checked; exploratory observations cannot count as a DUT functional PASS.
Coverage: RX full x extra frame count x observed recovery.</x:t>
        </x:is>
      </x:c>
      <x:c r="D48" s="17" t="inlineStr">
        <x:is>
          <x:t>uart_explore_rx_overflow_test</x:t>
        </x:is>
      </x:c>
      <x:c r="E48" s="17" t="inlineStr">
        <x:is>
          <x:t>Low</x:t>
        </x:is>
      </x:c>
      <x:c r="F48" s="17" t="inlineStr">
        <x:is>
          <x:t>Directed</x:t>
        </x:is>
      </x:c>
      <x:c r="G48" s="17" t="inlineStr">
        <x:is>
          <x:t/>
        </x:is>
      </x:c>
      <x:c r="H48" s="17" t="inlineStr">
        <x:is>
          <x:t>Pending spec</x:t>
        </x:is>
      </x:c>
      <x:c r="I48" s="17" t="inlineStr">
        <x:is>
          <x:t>M5</x:t>
        </x:is>
      </x:c>
      <x:c r="J48" s="17" t="inlineStr">
        <x:is>
          <x:t>[Exploratory] Added 2026-10-24. OPEN Q1: §1.7.3 defines TX-full writes and RX-empty reads, but no RX-full input policy.</x:t>
        </x:is>
      </x:c>
      <x:c r="K48" s="17" t="inlineStr">
        <x:is>
          <x:t>Pending spec</x:t>
        </x:is>
      </x:c>
      <x:c r="L48" s="17" t="inlineStr">
        <x:is>
          <x:t>Expected behavior needs specification clarification; excluded from required150-test plan.</x:t>
        </x:is>
      </x:c>
      <x:c r="M48" s="17" t="inlineStr">
        <x:is>
          <x:t>Pending spec</x:t>
        </x:is>
      </x:c>
    </x:row>
    <x:row r="49" ht="350" customHeight="1">
      <x:c r="A49" s="17" t="inlineStr">
        <x:is>
          <x:t>17.02</x:t>
        </x:is>
      </x:c>
      <x:c r="B49" s="17" t="inlineStr">
        <x:is>
          <x:t>BGE enabled with divisor zero</x:t>
        </x:is>
      </x:c>
      <x:c r="C49" s="17" t="inlineStr">
        <x:is>
          <x:t>Objective: BGE enabled with divisor zero.
Setup: Reset leaves DLL/DLH=0; no queued data.
Stimulus: Enable BGE with zero divisor, observe bounded window; reset and reinitialize with legal divisor.
Expected: Record clock/TX/RX behavior only; disabled/saturated/error behavior for divisor0 is unspecified.
Checker / PASS: Finite watchdog and observation log; no required baud or error response is invented; legal post-reset recovery checked separately.
Coverage: Divisor0 x BGE x OSM.</x:t>
        </x:is>
      </x:c>
      <x:c r="D49" s="17" t="inlineStr">
        <x:is>
          <x:t>uart_explore_divisor_zero_test</x:t>
        </x:is>
      </x:c>
      <x:c r="E49" s="17" t="inlineStr">
        <x:is>
          <x:t>Low</x:t>
        </x:is>
      </x:c>
      <x:c r="F49" s="17" t="inlineStr">
        <x:is>
          <x:t>Directed</x:t>
        </x:is>
      </x:c>
      <x:c r="G49" s="17" t="inlineStr">
        <x:is>
          <x:t/>
        </x:is>
      </x:c>
      <x:c r="H49" s="17" t="inlineStr">
        <x:is>
          <x:t>Pending spec</x:t>
        </x:is>
      </x:c>
      <x:c r="I49" s="17" t="inlineStr">
        <x:is>
          <x:t>M5</x:t>
        </x:is>
      </x:c>
      <x:c r="J49" s="17" t="inlineStr">
        <x:is>
          <x:t>[Exploratory] Added 2026-10-24. OPEN Q2: §1.5 legal divisor range starts at1 while reset divisor is0.</x:t>
        </x:is>
      </x:c>
      <x:c r="K49" s="17" t="inlineStr">
        <x:is>
          <x:t>Pending spec</x:t>
        </x:is>
      </x:c>
      <x:c r="L49" s="17" t="inlineStr">
        <x:is>
          <x:t>Expected behavior needs specification clarification; excluded from required150-test plan.</x:t>
        </x:is>
      </x:c>
      <x:c r="M49" s="17" t="inlineStr">
        <x:is>
          <x:t>Pending spec</x:t>
        </x:is>
      </x:c>
    </x:row>
    <x:row r="50" ht="350" customHeight="1">
      <x:c r="A50" s="17" t="inlineStr">
        <x:is>
          <x:t>17.03</x:t>
        </x:is>
      </x:c>
      <x:c r="B50" s="17" t="inlineStr">
        <x:is>
          <x:t>Live configuration change or BGE disable during frame</x:t>
        </x:is>
      </x:c>
      <x:c r="C50" s="17" t="inlineStr">
        <x:is>
          <x:t>Objective: Live configuration change or BGE disable during frame.
Setup: Active TX or RX frame and/or queued data; alter one field at a time.
Stimulus: Change DLL/DLH/MDR/LCR or toggle BGE at start/data/parity/stop; observe then reset and recover.
Expected: Pause/resume/abort and old/new configuration latching are not specified; collect traces without assuming one policy.
Checker / PASS: Scoped protocol-error observation for interrupted frame; verify normal recovery only after reset and safe initialization.
Coverage: Direction x frame phase x changed field/BGE.</x:t>
        </x:is>
      </x:c>
      <x:c r="D50" s="17" t="inlineStr">
        <x:is>
          <x:t>uart_explore_live_config_test</x:t>
        </x:is>
      </x:c>
      <x:c r="E50" s="17" t="inlineStr">
        <x:is>
          <x:t>Low</x:t>
        </x:is>
      </x:c>
      <x:c r="F50" s="17" t="inlineStr">
        <x:is>
          <x:t>Directed</x:t>
        </x:is>
      </x:c>
      <x:c r="G50" s="17" t="inlineStr">
        <x:is>
          <x:t/>
        </x:is>
      </x:c>
      <x:c r="H50" s="17" t="inlineStr">
        <x:is>
          <x:t>Pending spec</x:t>
        </x:is>
      </x:c>
      <x:c r="I50" s="17" t="inlineStr">
        <x:is>
          <x:t>M5</x:t>
        </x:is>
      </x:c>
      <x:c r="J50" s="17" t="inlineStr">
        <x:is>
          <x:t>[Exploratory] Added 2026-10-24. OPEN Q3: Ch.3 specifies initialization order, not live update or gating behavior.</x:t>
        </x:is>
      </x:c>
      <x:c r="K50" s="17" t="inlineStr">
        <x:is>
          <x:t>Pending spec</x:t>
        </x:is>
      </x:c>
      <x:c r="L50" s="17" t="inlineStr">
        <x:is>
          <x:t>Expected behavior needs specification clarification; excluded from required150-test plan.</x:t>
        </x:is>
      </x:c>
      <x:c r="M50" s="17" t="inlineStr">
        <x:is>
          <x:t>Pending spec</x:t>
        </x:is>
      </x:c>
    </x:row>
    <x:row r="51" ht="350" customHeight="1">
      <x:c r="A51" s="17" t="inlineStr">
        <x:is>
          <x:t>17.04</x:t>
        </x:is>
      </x:c>
      <x:c r="B51" s="17" t="inlineStr">
        <x:is>
          <x:t>Short low glitch on idle RX</x:t>
        </x:is>
      </x:c>
      <x:c r="C51" s="17" t="inlineStr">
        <x:is>
          <x:t>Objective: Short low glitch on idle RX.
Setup: RX idle high; stable legal format and divisor in each OSM.
Stimulus: Inject low pulses shorter than a bit, sweep duration around candidate start sampling point; restore high then send valid frame.
Expected: False-start rejection threshold and filtering algorithm are unspecified; log whether a byte/error is produced.
Checker / PASS: Record pin/FSR/RBR only when nonempty; do not require universal glitch rejection; reset before checked recovery if needed.
Coverage: Glitch duration/phase x OSM.</x:t>
        </x:is>
      </x:c>
      <x:c r="D51" s="17" t="inlineStr">
        <x:is>
          <x:t>uart_explore_false_start_test</x:t>
        </x:is>
      </x:c>
      <x:c r="E51" s="17" t="inlineStr">
        <x:is>
          <x:t>Low</x:t>
        </x:is>
      </x:c>
      <x:c r="F51" s="17" t="inlineStr">
        <x:is>
          <x:t>Directed</x:t>
        </x:is>
      </x:c>
      <x:c r="G51" s="17" t="inlineStr">
        <x:is>
          <x:t/>
        </x:is>
      </x:c>
      <x:c r="H51" s="17" t="inlineStr">
        <x:is>
          <x:t>Pending spec</x:t>
        </x:is>
      </x:c>
      <x:c r="I51" s="17" t="inlineStr">
        <x:is>
          <x:t>M5</x:t>
        </x:is>
      </x:c>
      <x:c r="J51" s="17" t="inlineStr">
        <x:is>
          <x:t>[Exploratory] Added 2026-10-24. OPEN Q4: §1.5 defines data sampling location but no false-start qualification rule.</x:t>
        </x:is>
      </x:c>
      <x:c r="K51" s="17" t="inlineStr">
        <x:is>
          <x:t>Pending spec</x:t>
        </x:is>
      </x:c>
      <x:c r="L51" s="17" t="inlineStr">
        <x:is>
          <x:t>Expected behavior needs specification clarification; excluded from required150-test plan.</x:t>
        </x:is>
      </x:c>
      <x:c r="M51" s="17" t="inlineStr">
        <x:is>
          <x:t>Pending spec</x:t>
        </x:is>
      </x:c>
    </x:row>
    <x:row r="52" ht="350" customHeight="1">
      <x:c r="A52" s="17" t="inlineStr">
        <x:is>
          <x:t>17.05</x:t>
        </x:is>
      </x:c>
      <x:c r="B52" s="17" t="inlineStr">
        <x:is>
          <x:t>Invalid stop bit in one-stop and two-stop formats</x:t>
        </x:is>
      </x:c>
      <x:c r="C52" s="17" t="inlineStr">
        <x:is>
          <x:t>Objective: Invalid stop bit in one-stop and two-stop formats.
Setup: Stable valid RX setup, parity disabled to isolate stop handling.
Stimulus: Force first stop low; for STB2 also test only second stop low; return idle high and observe.
Expected: Framing-error reporting and malformed-frame accept/discard/resynchronization policy are unspecified; there is no framing-error FSR bit.
Checker / PASS: Log data/status and recovery trace; do not repurpose parity_error as framing_error or invent an interrupt.
Coverage: STB1/2 x invalid stop index x OSM.</x:t>
        </x:is>
      </x:c>
      <x:c r="D52" s="17" t="inlineStr">
        <x:is>
          <x:t>uart_explore_bad_stop_test</x:t>
        </x:is>
      </x:c>
      <x:c r="E52" s="17" t="inlineStr">
        <x:is>
          <x:t>Low</x:t>
        </x:is>
      </x:c>
      <x:c r="F52" s="17" t="inlineStr">
        <x:is>
          <x:t>Directed</x:t>
        </x:is>
      </x:c>
      <x:c r="G52" s="17" t="inlineStr">
        <x:is>
          <x:t/>
        </x:is>
      </x:c>
      <x:c r="H52" s="17" t="inlineStr">
        <x:is>
          <x:t>Pending spec</x:t>
        </x:is>
      </x:c>
      <x:c r="I52" s="17" t="inlineStr">
        <x:is>
          <x:t>M5</x:t>
        </x:is>
      </x:c>
      <x:c r="J52" s="17" t="inlineStr">
        <x:is>
          <x:t>[Exploratory] Added 2026-10-24. OPEN Q5: §1.6.2 defines legal stop format; §2.2.6 exposes only parity error.</x:t>
        </x:is>
      </x:c>
      <x:c r="K52" s="17" t="inlineStr">
        <x:is>
          <x:t>Pending spec</x:t>
        </x:is>
      </x:c>
      <x:c r="L52" s="17" t="inlineStr">
        <x:is>
          <x:t>Expected behavior needs specification clarification; excluded from required150-test plan.</x:t>
        </x:is>
      </x:c>
      <x:c r="M52" s="17" t="inlineStr">
        <x:is>
          <x:t>Pending spec</x:t>
        </x:is>
      </x:c>
    </x:row>
    <x:row r="53" ht="350" customHeight="1">
      <x:c r="A53" s="17" t="inlineStr">
        <x:is>
          <x:t>17.06</x:t>
        </x:is>
      </x:c>
      <x:c r="B53" s="17" t="inlineStr">
        <x:is>
          <x:t>RX held low across multiple frame times</x:t>
        </x:is>
      </x:c>
      <x:c r="C53" s="17" t="inlineStr">
        <x:is>
          <x:t>Objective: RX held low across multiple frame times.
Setup: Configured receiver; leave room or reset between bounded trials.
Stimulus: Hold RX low for &gt;2 frame times, then drive high; repeat with RX low at reset release.
Expected: Break detection, repeated zero-frame insertion and restart policy are unspecified.
Checker / PASS: Bound run duration, record FIFO/status/IRQ; normal post-reset traffic remains checked separately.
Coverage: Break length x reset release RX level x OSM.</x:t>
        </x:is>
      </x:c>
      <x:c r="D53" s="17" t="inlineStr">
        <x:is>
          <x:t>uart_explore_break_input_test</x:t>
        </x:is>
      </x:c>
      <x:c r="E53" s="17" t="inlineStr">
        <x:is>
          <x:t>Low</x:t>
        </x:is>
      </x:c>
      <x:c r="F53" s="17" t="inlineStr">
        <x:is>
          <x:t>Directed</x:t>
        </x:is>
      </x:c>
      <x:c r="G53" s="17" t="inlineStr">
        <x:is>
          <x:t/>
        </x:is>
      </x:c>
      <x:c r="H53" s="17" t="inlineStr">
        <x:is>
          <x:t>Pending spec</x:t>
        </x:is>
      </x:c>
      <x:c r="I53" s="17" t="inlineStr">
        <x:is>
          <x:t>M5</x:t>
        </x:is>
      </x:c>
      <x:c r="J53" s="17" t="inlineStr">
        <x:is>
          <x:t>[Exploratory] Added 2026-10-24. OPEN Q6: No break feature, break status or resynchronization requirement in spec.</x:t>
        </x:is>
      </x:c>
      <x:c r="K53" s="17" t="inlineStr">
        <x:is>
          <x:t>Pending spec</x:t>
        </x:is>
      </x:c>
      <x:c r="L53" s="17" t="inlineStr">
        <x:is>
          <x:t>Expected behavior needs specification clarification; excluded from required150-test plan.</x:t>
        </x:is>
      </x:c>
      <x:c r="M53" s="17" t="inlineStr">
        <x:is>
          <x:t>Pending spec</x:t>
        </x:is>
      </x:c>
    </x:row>
    <x:row r="54" ht="350" customHeight="1">
      <x:c r="A54" s="17" t="inlineStr">
        <x:is>
          <x:t>17.07</x:t>
        </x:is>
      </x:c>
      <x:c r="B54" s="17" t="inlineStr">
        <x:is>
          <x:t>Parity-error event coincides with W1C clear</x:t>
        </x:is>
      </x:c>
      <x:c r="C54" s="17" t="inlineStr">
        <x:is>
          <x:t>Objective: Parity-error event coincides with W1C clear.
Setup: Parity enabled; align actual internal parity event and FSR clear transaction when observable.
Stimulus: Write FSR.bit4=1 at event-1/event/event+1 HCLK; repeat with flag initially0 and1.
Expected: Same-cycle set-versus-clear priority is unspecified; before/after noncollision cases follow documented W1C behavior.
Checker / PASS: Log exact parity pulse and actual decoder write event, not only AHB completion; leave coincidence verdict pending.
Coverage: Parity set/clear relative phase x initial flag.</x:t>
        </x:is>
      </x:c>
      <x:c r="D54" s="17" t="inlineStr">
        <x:is>
          <x:t>uart_explore_parity_clear_collision_test</x:t>
        </x:is>
      </x:c>
      <x:c r="E54" s="17" t="inlineStr">
        <x:is>
          <x:t>Low</x:t>
        </x:is>
      </x:c>
      <x:c r="F54" s="17" t="inlineStr">
        <x:is>
          <x:t>Directed</x:t>
        </x:is>
      </x:c>
      <x:c r="G54" s="17" t="inlineStr">
        <x:is>
          <x:t/>
        </x:is>
      </x:c>
      <x:c r="H54" s="17" t="inlineStr">
        <x:is>
          <x:t>Pending spec</x:t>
        </x:is>
      </x:c>
      <x:c r="I54" s="17" t="inlineStr">
        <x:is>
          <x:t>M5</x:t>
        </x:is>
      </x:c>
      <x:c r="J54" s="17" t="inlineStr">
        <x:is>
          <x:t>[Exploratory] Added 2026-10-24. OPEN Q7: §2.2.6 R/W1C does not state simultaneous hardware-set/software-clear priority.</x:t>
        </x:is>
      </x:c>
      <x:c r="K54" s="17" t="inlineStr">
        <x:is>
          <x:t>Pending spec</x:t>
        </x:is>
      </x:c>
      <x:c r="L54" s="17" t="inlineStr">
        <x:is>
          <x:t>Expected behavior needs specification clarification; excluded from required150-test plan.</x:t>
        </x:is>
      </x:c>
      <x:c r="M54" s="17" t="inlineStr">
        <x:is>
          <x:t>Pending spec</x:t>
        </x:is>
      </x:c>
    </x:row>
    <x:row r="55" ht="350" customHeight="1">
      <x:c r="A55" s="17" t="inlineStr">
        <x:is>
          <x:t>17.08</x:t>
        </x:is>
      </x:c>
      <x:c r="B55" s="17" t="inlineStr">
        <x:is>
          <x:t>Unsupported AHB size, burst and alignment</x:t>
        </x:is>
      </x:c>
      <x:c r="C55" s="17" t="inlineStr">
        <x:is>
          <x:t>Objective: Unsupported AHB size, burst and alignment.
Setup: Isolate negative traffic from legal regression; one unsupported property at a time.
Stimulus: Try byte/halfword HSIZE, misaligned address, multi-beat or fixed-length burst; observe response and reset before normal traffic.
Expected: Feature is unsupported; ERROR versus ignore versus other handling is not specified. No requirement to accept illegal combinations.
Checker / PASS: Record HRESP/HREADYOUT and effects within finite watchdog; do not let unsupported stimuli fail required functional coverage.
Coverage: Unsupported size/alignment/burst category x direction.</x:t>
        </x:is>
      </x:c>
      <x:c r="D55" s="17" t="inlineStr">
        <x:is>
          <x:t>uart_explore_unsupported_ahb_test</x:t>
        </x:is>
      </x:c>
      <x:c r="E55" s="17" t="inlineStr">
        <x:is>
          <x:t>Low</x:t>
        </x:is>
      </x:c>
      <x:c r="F55" s="17" t="inlineStr">
        <x:is>
          <x:t>Directed</x:t>
        </x:is>
      </x:c>
      <x:c r="G55" s="17" t="inlineStr">
        <x:is>
          <x:t/>
        </x:is>
      </x:c>
      <x:c r="H55" s="17" t="inlineStr">
        <x:is>
          <x:t>Pending spec</x:t>
        </x:is>
      </x:c>
      <x:c r="I55" s="17" t="inlineStr">
        <x:is>
          <x:t>M5</x:t>
        </x:is>
      </x:c>
      <x:c r="J55" s="17" t="inlineStr">
        <x:is>
          <x:t>[Exploratory] Added 2026-10-24. OPEN Q8: §1.2/§1.6.1 restrict supported subset; reserved-address ERROR guarantee alone does not define these cases. HMASTLOCK is absent from RTL top.</x:t>
        </x:is>
      </x:c>
      <x:c r="K55" s="17" t="inlineStr">
        <x:is>
          <x:t>Pending spec</x:t>
        </x:is>
      </x:c>
      <x:c r="L55" s="17" t="inlineStr">
        <x:is>
          <x:t>Expected behavior needs specification clarification; excluded from required150-test plan.</x:t>
        </x:is>
      </x:c>
      <x:c r="M55" s="17" t="inlineStr">
        <x:is>
          <x:t>Pending spec</x:t>
        </x:is>
      </x:c>
    </x:row>
    <x:row r="56" ht="350" customHeight="1">
      <x:c r="A56" s="17" t="inlineStr">
        <x:is>
          <x:t>17.09</x:t>
        </x:is>
      </x:c>
      <x:c r="B56" s="17" t="inlineStr">
        <x:is>
          <x:t>RX baud mismatch and jitter tolerance</x:t>
        </x:is>
      </x:c>
      <x:c r="C56" s="17" t="inlineStr">
        <x:is>
          <x:t>Objective: RX baud mismatch and jitter tolerance.
Setup: Legal configured baud; sweep positive/negative source period deviation in bounded trials.
Stimulus: Vary RX source baud and individual bit jitter across payload patterns and OSM16/13.
Expected: Characterize acceptance limits; spec gives no guaranteed ppm/percent/jitter tolerance, so no fixed tolerance becomes a required pass threshold.
Checker / PASS: Record tested mismatch versus observed data/status; exact-rate required tests remain separate.
Coverage: Mismatch sign/magnitude x OSM x data pattern.</x:t>
        </x:is>
      </x:c>
      <x:c r="D56" s="17" t="inlineStr">
        <x:is>
          <x:t>uart_explore_baud_mismatch_test</x:t>
        </x:is>
      </x:c>
      <x:c r="E56" s="17" t="inlineStr">
        <x:is>
          <x:t>Low</x:t>
        </x:is>
      </x:c>
      <x:c r="F56" s="17" t="inlineStr">
        <x:is>
          <x:t>Directed</x:t>
        </x:is>
      </x:c>
      <x:c r="G56" s="17" t="inlineStr">
        <x:is>
          <x:t/>
        </x:is>
      </x:c>
      <x:c r="H56" s="17" t="inlineStr">
        <x:is>
          <x:t>Pending spec</x:t>
        </x:is>
      </x:c>
      <x:c r="I56" s="17" t="inlineStr">
        <x:is>
          <x:t>M5</x:t>
        </x:is>
      </x:c>
      <x:c r="J56" s="17" t="inlineStr">
        <x:is>
          <x:t>[Exploratory] Added 2026-10-24. OPEN Q9: §1.5 oversampling and sample position do not define allowable clock error.</x:t>
        </x:is>
      </x:c>
      <x:c r="K56" s="17" t="inlineStr">
        <x:is>
          <x:t>Pending spec</x:t>
        </x:is>
      </x:c>
      <x:c r="L56" s="17" t="inlineStr">
        <x:is>
          <x:t>Expected behavior needs specification clarification; excluded from required150-test plan.</x:t>
        </x:is>
      </x:c>
      <x:c r="M56" s="17" t="inlineStr">
        <x:is>
          <x:t>Pending spec</x:t>
        </x:is>
      </x:c>
    </x:row>
    <x:row r="57" ht="350" customHeight="1">
      <x:c r="A57" s="17" t="inlineStr">
        <x:is>
          <x:t>17.10</x:t>
        </x:is>
      </x:c>
      <x:c r="B57" s="17" t="inlineStr">
        <x:is>
          <x:t>FIFO push and pop coincide at full or empty</x:t>
        </x:is>
      </x:c>
      <x:c r="C57" s="17" t="inlineStr">
        <x:is>
          <x:t>Objective: FIFO push and pop coincide at full or empty.
Setup: Establish TX or RX boundary prestate; instrument actual FIFO push/pop requests when observable.
Stimulus: Align push/pop on same clock at occupancy0 and16; include TX full TBR write with dequeue and RX full frame with RBR read.
Expected: Prestate qualification, bypass and acceptance priority for simultaneous boundary events are not specified. Isolated TX-full writes remain required to be ignored.
Checker / PASS: Log actual events, flag prestate and eventual bytes; do not infer exact coincidence from an earlier FSR poll or AHB completion alone.
Coverage: TX/RX x empty/full x same-cycle push/pop.</x:t>
        </x:is>
      </x:c>
      <x:c r="D57" s="17" t="inlineStr">
        <x:is>
          <x:t>uart_explore_fifo_boundary_collision_test</x:t>
        </x:is>
      </x:c>
      <x:c r="E57" s="17" t="inlineStr">
        <x:is>
          <x:t>Low</x:t>
        </x:is>
      </x:c>
      <x:c r="F57" s="17" t="inlineStr">
        <x:is>
          <x:t>Directed</x:t>
        </x:is>
      </x:c>
      <x:c r="G57" s="17" t="inlineStr">
        <x:is>
          <x:t/>
        </x:is>
      </x:c>
      <x:c r="H57" s="17" t="inlineStr">
        <x:is>
          <x:t>Pending spec</x:t>
        </x:is>
      </x:c>
      <x:c r="I57" s="17" t="inlineStr">
        <x:is>
          <x:t>M5</x:t>
        </x:is>
      </x:c>
      <x:c r="J57" s="17" t="inlineStr">
        <x:is>
          <x:t>[Exploratory] Added 2026-10-24. OPEN Q10: §1.7.3 defines isolated full/empty handling; simultaneous boundary ordering needs clarification. Interior collisions covered by14.03/14.04.</x:t>
        </x:is>
      </x:c>
      <x:c r="K57" s="17" t="inlineStr">
        <x:is>
          <x:t>Pending spec</x:t>
        </x:is>
      </x:c>
      <x:c r="L57" s="17" t="inlineStr">
        <x:is>
          <x:t>Expected behavior needs specification clarification; excluded from required150-test plan.</x:t>
        </x:is>
      </x:c>
      <x:c r="M57" s="17" t="inlineStr">
        <x:is>
          <x:t>Pending spec</x:t>
        </x:is>
      </x:c>
    </x:row>
  </x:sheetData>
  <x:autoFilter ref="A1:M57"/>
  <x:pageMargins left="0.3" right="0.3" top="0.4" bottom="0.4" header="0.2" footer="0.2"/>
</x:worksheet>
</file>