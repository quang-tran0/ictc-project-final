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f431e141c3404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Vplan" sheetId="1" r:id="Ra54aa039505246cb"/>
  </x:sheets>
</x:workbook>
</file>

<file path=xl/sharedStrings.xml><?xml version="1.0" encoding="utf-8"?>
<x:sst xmlns:x="http://schemas.openxmlformats.org/spreadsheetml/2006/main">
  <x:si>
    <x:t xml:space="preserve">Total Items</x:t>
  </x:si>
  <x:si>
    <x:t xml:space="preserve">Pass Items</x:t>
  </x:si>
  <x:si>
    <x:t xml:space="preserve">Fail Items</x:t>
  </x:si>
  <x:si>
    <x:t xml:space="preserve">NY Items</x:t>
  </x:si>
  <x:si>
    <x:t xml:space="preserve">Section</x:t>
  </x:si>
  <x:si>
    <x:t xml:space="preserve">Main Title</x:t>
  </x:si>
  <x:si>
    <x:t xml:space="preserve">Description</x:t>
  </x:si>
  <x:si>
    <x:t xml:space="preserve">Testname</x:t>
  </x:si>
  <x:si>
    <x:t xml:space="preserve">Priority</x:t>
  </x:si>
  <x:si>
    <x:t xml:space="preserve">Method</x:t>
  </x:si>
  <x:si>
    <x:t xml:space="preserve">Owner</x:t>
  </x:si>
  <x:si>
    <x:t xml:space="preserve">Status</x:t>
  </x:si>
  <x:si>
    <x:t xml:space="preserve">Milestone</x:t>
  </x:si>
  <x:si>
    <x:t xml:space="preserve">Remark</x:t>
  </x:si>
</x:sst>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  <x:font>
      <x:sz val="11"/>
      <x:color rgb="FF000000"/>
      <x:name val="Calibri"/>
    </x:font>
  </x:fonts>
  <x:fills count="7">
    <x:fill>
      <x:patternFill patternType="none"/>
    </x:fill>
    <x:fill>
      <x:patternFill patternType="lightGray"/>
    </x:fill>
    <x:fill>
      <x:patternFill patternType="solid">
        <x:fgColor rgb="FFFFE598"/>
      </x:patternFill>
    </x:fill>
    <x:fill>
      <x:patternFill patternType="solid">
        <x:fgColor theme="4"/>
      </x:patternFill>
    </x:fill>
    <x:fill>
      <x:patternFill patternType="solid">
        <x:fgColor rgb="FFC5E0B3"/>
      </x:patternFill>
    </x:fill>
    <x:fill>
      <x:patternFill patternType="solid">
        <x:fgColor rgb="FFFFFFFF"/>
      </x:patternFill>
    </x:fill>
    <x:fill>
      <x:patternFill patternType="solid">
        <x:fgColor rgb="FFC5E0B3"/>
      </x:patternFill>
    </x:fill>
  </x:fills>
  <x:borders count="2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 applyFont="1" applyAlignment="1"/>
  </x:cellStyleXfs>
  <x:cellXfs count="30">
    <x:xf numFmtId="0" fontId="0" fillId="0" borderId="0" xfId="0" applyFont="1" applyAlignment="1">
      <x:alignment vertical="bottom" wrapText="0"/>
    </x:xf>
    <x:xf numFmtId="0" fontId="1" fillId="2" borderId="1" xfId="0" applyFont="1" applyFill="1" applyBorder="1" applyAlignment="1">
      <x:alignment horizontal="center"/>
    </x:xf>
    <x:xf numFmtId="0" fontId="1" fillId="0" borderId="1" xfId="0" applyFont="1" applyBorder="1"/>
    <x:xf numFmtId="0" fontId="2" fillId="3" borderId="1" xfId="0" applyFont="1" applyFill="1" applyBorder="1" applyAlignment="1">
      <x:alignment horizontal="center"/>
    </x:xf>
    <x:xf numFmtId="0" fontId="1" fillId="4" borderId="1" xfId="0" applyFont="1" applyFill="1" applyBorder="1"/>
    <x:xf numFmtId="0" fontId="1" fillId="0" borderId="1" xfId="0" applyFont="1" applyBorder="1" applyAlignment="1">
      <x:alignment wrapText="1"/>
    </x:xf>
    <x:xf numFmtId="0" fontId="1" fillId="0" borderId="1" xfId="0" applyFont="1" applyBorder="1" applyAlignment="1"/>
    <x:xf numFmtId="0" fontId="0" fillId="0" borderId="0" xfId="0" applyNumberFormat="1" applyFont="1" applyFill="1" applyBorder="1" applyAlignment="1">
      <x:alignment vertical="bottom" wrapText="0"/>
    </x:xf>
    <x:xf numFmtId="0" fontId="0" fillId="2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bottom" wrapText="0"/>
    </x:xf>
    <x:xf numFmtId="0" fontId="3" fillId="5" borderId="0" xfId="0" applyNumberFormat="1" applyFont="1" applyFill="1" applyBorder="1" applyAlignment="1">
      <x:alignment vertical="bottom" wrapText="0"/>
    </x:xf>
    <x:xf numFmtId="0" fontId="3" fillId="5" borderId="1" xfId="0" applyNumberFormat="1" applyFont="1" applyFill="1" applyBorder="1" applyAlignment="1">
      <x:alignment vertical="bottom" wrapText="0"/>
    </x:xf>
    <x:xf numFmtId="0" fontId="3" fillId="5" borderId="1" xfId="0" applyNumberFormat="1" applyFont="1" applyFill="1" applyBorder="1" applyAlignment="1">
      <x:alignment vertical="bottom" wrapText="1"/>
    </x:xf>
    <x:xf numFmtId="0" fontId="3" fillId="5" borderId="1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right" vertical="top" wrapText="1"/>
    </x:xf>
    <x:xf numFmtId="0" fontId="3" fillId="5" borderId="1" xfId="0" applyNumberFormat="1" applyFont="1" applyFill="1" applyBorder="1" applyAlignment="1">
      <x:alignment horizontal="center" vertical="top" wrapText="1"/>
    </x:xf>
    <x:xf numFmtId="0" fontId="3" fillId="6" borderId="1" xfId="0" applyNumberFormat="1" applyFont="1" applyFill="1" applyBorder="1" applyAlignment="1">
      <x:alignment horizontal="right" vertical="top" wrapText="1"/>
    </x:xf>
    <x:xf numFmtId="0" fontId="3" fillId="6" borderId="1" xfId="0" applyNumberFormat="1" applyFont="1" applyFill="1" applyBorder="1" applyAlignment="1">
      <x:alignment vertical="top" wrapText="1"/>
    </x:xf>
    <x:xf numFmtId="0" fontId="3" fillId="6" borderId="1" xfId="0" applyNumberFormat="1" applyFont="1" applyFill="1" applyBorder="1" applyAlignment="1">
      <x:alignment horizontal="center" vertical="top" wrapText="1"/>
    </x:xf>
    <x:xf numFmtId="0" fontId="3" fillId="6" borderId="1" xfId="0" applyNumberFormat="1" applyFont="1" applyFill="1" applyBorder="1" applyAlignment="1">
      <x:alignment horizontal="right"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f60ec2ddcb4d4f" /><Relationship Type="http://schemas.openxmlformats.org/officeDocument/2006/relationships/theme" Target="/xl/theme/theme1.xml" Id="R90f242b5fee44c86" /><Relationship Type="http://schemas.openxmlformats.org/officeDocument/2006/relationships/sharedStrings" Target="/xl/sharedStrings.xml" Id="R69c0663d5c2f4372" /><Relationship Type="http://schemas.openxmlformats.org/officeDocument/2006/relationships/worksheet" Target="/xl/worksheets/sheet1.xml" Id="Ra54aa039505246cb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4.430000305175781" defaultRowHeight="15"/>
  <x:cols>
    <x:col min="1" max="1" width="10.140000343322754" customWidth="1"/>
    <x:col min="2" max="2" width="23.709999084472656" customWidth="1"/>
    <x:col min="3" max="3" width="47.56999969482422" customWidth="1"/>
    <x:col min="4" max="4" width="26.56999969482422" customWidth="1"/>
    <x:col min="5" max="5" width="6.860000133514404" customWidth="1"/>
    <x:col min="6" max="6" width="7.860000133514404" customWidth="1"/>
    <x:col min="7" max="7" width="6.429999828338623" customWidth="1"/>
    <x:col min="8" max="8" width="8.710000038146973" customWidth="1"/>
    <x:col min="9" max="9" width="12.859999656677246" customWidth="1"/>
    <x:col min="10" max="26" width="8.710000038146973" customWidth="1"/>
  </x:cols>
  <x:sheetData>
    <x:row r="1" ht="14.25" customHeight="1">
      <x:c r="A1" s="1" t="s">
        <x:v>0</x:v>
      </x:c>
      <x:c r="B1" s="2" t="n">
        <x:f>COUNTA(D8:D181)</x:f>
        <x:v>165</x:v>
      </x:c>
    </x:row>
    <x:row r="2" ht="14.25" customHeight="1">
      <x:c r="A2" s="1" t="s">
        <x:v>1</x:v>
      </x:c>
      <x:c r="B2" s="2" t="n">
        <x:f>COUNTIF(H8:H181,"Passed")</x:f>
        <x:v>0</x:v>
      </x:c>
    </x:row>
    <x:row r="3" ht="14.25" customHeight="1">
      <x:c r="A3" s="1" t="s">
        <x:v>2</x:v>
      </x:c>
      <x:c r="B3" s="2" t="n">
        <x:f>COUNTIF(H8:H181,"Failed")</x:f>
        <x:v>0</x:v>
      </x:c>
    </x:row>
    <x:row r="4" ht="14.25" customHeight="1">
      <x:c r="A4" s="1" t="s">
        <x:v>3</x:v>
      </x:c>
      <x:c r="B4" s="2" t="n">
        <x:f>COUNTIF(H8:H181,"NY")</x:f>
        <x:v>165</x:v>
      </x:c>
    </x:row>
    <x:row r="5" ht="14.25" customHeight="1"/>
    <x:row r="6" ht="14.25" customHeight="1"/>
    <x:row r="7" ht="14.25" customHeight="1">
      <x:c r="A7" s="3" t="s">
        <x:v>4</x:v>
      </x:c>
      <x:c r="B7" s="3" t="s">
        <x:v>5</x:v>
      </x:c>
      <x:c r="C7" s="3" t="s">
        <x:v>6</x:v>
      </x:c>
      <x:c r="D7" s="3" t="s">
        <x:v>7</x:v>
      </x:c>
      <x:c r="E7" s="3" t="s">
        <x:v>8</x:v>
      </x:c>
      <x:c r="F7" s="3" t="s">
        <x:v>9</x:v>
      </x:c>
      <x:c r="G7" s="3" t="s">
        <x:v>10</x:v>
      </x:c>
      <x:c r="H7" s="3" t="s">
        <x:v>11</x:v>
      </x:c>
      <x:c r="I7" s="3" t="s">
        <x:v>12</x:v>
      </x:c>
      <x:c r="J7" s="3" t="s">
        <x:v>13</x:v>
      </x:c>
    </x:row>
    <x:row r="8" ht="24" customHeight="1">
      <x:c r="A8" s="27" t="n">
        <x:v>1</x:v>
      </x:c>
      <x:c r="B8" s="28" t="str">
        <x:v>Register Verification</x:v>
      </x:c>
      <x:c r="C8" s="28"/>
      <x:c r="D8" s="28"/>
      <x:c r="E8" s="28"/>
      <x:c r="F8" s="28"/>
      <x:c r="G8" s="28"/>
      <x:c r="H8" s="29"/>
      <x:c r="I8" s="29"/>
      <x:c r="J8" s="28"/>
    </x:row>
    <x:row r="9" ht="170" customHeight="1">
      <x:c r="A9" s="22" t="str">
        <x:v>1.01</x:v>
      </x:c>
      <x:c r="B9" s="17" t="str">
        <x:v>Register reset defaults</x:v>
      </x:c>
      <x:c r="C9" s="17" t="str">
        <x:v>Objective: Verify defined reset state of all software-visible register fields.
Setup: Apply HRESETN=0 then release; initialize RAL HARD mirror.
Stimulus: Read MDR, DLL, DLH, LCR, IER, FSR through completed AHB word reads.
Expected: MDR=0, DLL=0, DLH=0, LCR[5:0]=0x03, IER[4:0]=0, FSR[4:0]=0x0A; RBR data is unspecified.
Checker / PASS: AHB monitor + masked expected values; exclude RBR and unspecified reserved bits.
Coverage: Register reset × access.</x:v>
      </x:c>
      <x:c r="D9" s="17" t="str">
        <x:v>uart_reg_reset_test</x:v>
      </x:c>
      <x:c r="E9" s="17" t="str">
        <x:v>High</x:v>
      </x:c>
      <x:c r="F9" s="17" t="str">
        <x:v>Directed</x:v>
      </x:c>
      <x:c r="G9" s="17"/>
      <x:c r="H9" s="23" t="str">
        <x:v>NY</x:v>
      </x:c>
      <x:c r="I9" s="23" t="str">
        <x:v>M1</x:v>
      </x:c>
      <x:c r="J9" s="17" t="str">
        <x:v>Spec v2.0 §2.2 (register table); Ch.3 sequence; RBR reset data unknown.</x:v>
      </x:c>
    </x:row>
    <x:row r="10" ht="170" customHeight="1">
      <x:c r="A10" s="22" t="str">
        <x:v>1.02</x:v>
      </x:c>
      <x:c r="B10" s="17" t="str">
        <x:v>MDR RW fields</x:v>
      </x:c>
      <x:c r="C10" s="17" t="str">
        <x:v>Objective: Verify meaningful writable fields of MDR and reserved-bit masking.
Setup: Reset DUT; select mapped AHB offset 0x000; avoid destructive serial activity.
Stimulus: Write and read legal OSM_SEL 0↔1; vary only documented writable bits.
Expected: Readback matches written bits under mask 0x01; access returns HRESP=OKAY.
Checker / PASS: AHB completed read vs expected masked RW value, independent of RAL mirror alone.
Coverage: MDR field values × read/write.</x:v>
      </x:c>
      <x:c r="D10" s="17" t="str">
        <x:v>uart_reg_mdr_rw_test</x:v>
      </x:c>
      <x:c r="E10" s="17" t="str">
        <x:v>High</x:v>
      </x:c>
      <x:c r="F10" s="17" t="str">
        <x:v>Directed</x:v>
      </x:c>
      <x:c r="G10" s="17"/>
      <x:c r="H10" s="23" t="str">
        <x:v>NY</x:v>
      </x:c>
      <x:c r="I10" s="23" t="str">
        <x:v>M1</x:v>
      </x:c>
      <x:c r="J10" s="17" t="str">
        <x:v>Spec v2.0 §2.2 MDR 0x000; unspecified reserved bits ignored.</x:v>
      </x:c>
    </x:row>
    <x:row r="11" ht="170" customHeight="1">
      <x:c r="A11" s="22" t="str">
        <x:v>1.03</x:v>
      </x:c>
      <x:c r="B11" s="17" t="str">
        <x:v>DLL RW fields</x:v>
      </x:c>
      <x:c r="C11" s="17" t="str">
        <x:v>Objective: Verify meaningful writable fields of DLL and reserved-bit masking.
Setup: Reset DUT; select mapped AHB offset 0x004; avoid destructive serial activity.
Stimulus: Write and read legal DLL low byte 0x00,0x8B,0xFF; vary only documented writable bits.
Expected: Readback matches written bits under mask 0xFF; access returns HRESP=OKAY.
Checker / PASS: AHB completed read vs expected masked RW value, independent of RAL mirror alone.
Coverage: DLL field values × read/write.</x:v>
      </x:c>
      <x:c r="D11" s="17" t="str">
        <x:v>uart_reg_dll_rw_test</x:v>
      </x:c>
      <x:c r="E11" s="17" t="str">
        <x:v>High</x:v>
      </x:c>
      <x:c r="F11" s="17" t="str">
        <x:v>Directed</x:v>
      </x:c>
      <x:c r="G11" s="17"/>
      <x:c r="H11" s="23" t="str">
        <x:v>NY</x:v>
      </x:c>
      <x:c r="I11" s="23" t="str">
        <x:v>M1</x:v>
      </x:c>
      <x:c r="J11" s="17" t="str">
        <x:v>Spec v2.0 §2.2 DLL 0x004; unspecified reserved bits ignored.</x:v>
      </x:c>
    </x:row>
    <x:row r="12" ht="170" customHeight="1">
      <x:c r="A12" s="22" t="str">
        <x:v>1.04</x:v>
      </x:c>
      <x:c r="B12" s="17" t="str">
        <x:v>DLH RW fields</x:v>
      </x:c>
      <x:c r="C12" s="17" t="str">
        <x:v>Objective: Verify meaningful writable fields of DLH and reserved-bit masking.
Setup: Reset DUT; select mapped AHB offset 0x008; avoid destructive serial activity.
Stimulus: Write and read legal DLH high byte 0x00,0x02,0xFF; vary only documented writable bits.
Expected: Readback matches written bits under mask 0xFF; access returns HRESP=OKAY.
Checker / PASS: AHB completed read vs expected masked RW value, independent of RAL mirror alone.
Coverage: DLH field values × read/write.</x:v>
      </x:c>
      <x:c r="D12" s="17" t="str">
        <x:v>uart_reg_dlh_rw_test</x:v>
      </x:c>
      <x:c r="E12" s="17" t="str">
        <x:v>High</x:v>
      </x:c>
      <x:c r="F12" s="17" t="str">
        <x:v>Directed</x:v>
      </x:c>
      <x:c r="G12" s="17"/>
      <x:c r="H12" s="23" t="str">
        <x:v>NY</x:v>
      </x:c>
      <x:c r="I12" s="23" t="str">
        <x:v>M1</x:v>
      </x:c>
      <x:c r="J12" s="17" t="str">
        <x:v>Spec v2.0 §2.2 DLH 0x008; unspecified reserved bits ignored.</x:v>
      </x:c>
    </x:row>
    <x:row r="13" ht="170" customHeight="1">
      <x:c r="A13" s="22" t="str">
        <x:v>1.05</x:v>
      </x:c>
      <x:c r="B13" s="17" t="str">
        <x:v>LCR RW fields</x:v>
      </x:c>
      <x:c r="C13" s="17" t="str">
        <x:v>Objective: Verify meaningful writable fields of LCR and reserved-bit masking.
Setup: Reset DUT; select mapped AHB offset 0x00C; avoid destructive serial activity.
Stimulus: Write and read legal BGE/EPS/PEN/STB/WLS readback; include WLS[1:0] values 0..3; vary only documented writable bits.
Expected: Readback matches written bits under mask 0x3F; access returns HRESP=OKAY.
Checker / PASS: AHB completed read vs expected masked RW value, independent of RAL mirror alone.
Coverage: LCR field values × read/write.</x:v>
      </x:c>
      <x:c r="D13" s="17" t="str">
        <x:v>uart_reg_lcr_rw_test</x:v>
      </x:c>
      <x:c r="E13" s="17" t="str">
        <x:v>High</x:v>
      </x:c>
      <x:c r="F13" s="17" t="str">
        <x:v>Directed</x:v>
      </x:c>
      <x:c r="G13" s="17"/>
      <x:c r="H13" s="23" t="str">
        <x:v>NY</x:v>
      </x:c>
      <x:c r="I13" s="23" t="str">
        <x:v>M1</x:v>
      </x:c>
      <x:c r="J13" s="17" t="str">
        <x:v>Spec v2.0 §2.2 LCR 0x00C; unspecified reserved bits ignored.</x:v>
      </x:c>
    </x:row>
    <x:row r="14" ht="170" customHeight="1">
      <x:c r="A14" s="22" t="str">
        <x:v>1.06</x:v>
      </x:c>
      <x:c r="B14" s="17" t="str">
        <x:v>IER RW fields</x:v>
      </x:c>
      <x:c r="C14" s="17" t="str">
        <x:v>Objective: Verify meaningful writable fields of IER and reserved-bit masking.
Setup: Reset DUT; select mapped AHB offset 0x010; avoid destructive serial activity.
Stimulus: Write and read legal each interrupt enable bit 0..4; vary only documented writable bits.
Expected: Readback matches written bits under mask 0x1F; access returns HRESP=OKAY.
Checker / PASS: AHB completed read vs expected masked RW value, independent of RAL mirror alone.
Coverage: IER field values × read/write.</x:v>
      </x:c>
      <x:c r="D14" s="17" t="str">
        <x:v>uart_reg_ier_rw_test</x:v>
      </x:c>
      <x:c r="E14" s="17" t="str">
        <x:v>High</x:v>
      </x:c>
      <x:c r="F14" s="17" t="str">
        <x:v>Directed</x:v>
      </x:c>
      <x:c r="G14" s="17"/>
      <x:c r="H14" s="23" t="str">
        <x:v>NY</x:v>
      </x:c>
      <x:c r="I14" s="23" t="str">
        <x:v>M1</x:v>
      </x:c>
      <x:c r="J14" s="17" t="str">
        <x:v>Spec v2.0 §2.2 IER 0x010; unspecified reserved bits ignored.</x:v>
      </x:c>
    </x:row>
    <x:row r="15" ht="170" customHeight="1">
      <x:c r="A15" s="22" t="str">
        <x:v>1.07</x:v>
      </x:c>
      <x:c r="B15" s="17" t="str">
        <x:v>FSR read-only FIFO status</x:v>
      </x:c>
      <x:c r="C15" s="17" t="str">
        <x:v>Objective: Verify read-only FIFO status reflects actual TX/RX occupancy.
Setup: Reset; configure slow baud, interrupts disabled; FSR at 0x014.
Stimulus: Read FSR when empty; enqueue or receive data; read FSR again; attempt non-W1C writes.
Expected: RO status bits [3:0] follow documented empty/full changes and are not modified by software writes.
Checker / PASS: FIFO event-aware reference state compared with FSR; no fixed mirror-only expectation.
Coverage: FSR RO status × FIFO occupancy.</x:v>
      </x:c>
      <x:c r="D15" s="17" t="str">
        <x:v>uart_reg_fsr_ro_test</x:v>
      </x:c>
      <x:c r="E15" s="17" t="str">
        <x:v>High</x:v>
      </x:c>
      <x:c r="F15" s="17" t="str">
        <x:v>Directed</x:v>
      </x:c>
      <x:c r="G15" s="17"/>
      <x:c r="H15" s="23" t="str">
        <x:v>NY</x:v>
      </x:c>
      <x:c r="I15" s="23" t="str">
        <x:v>M4</x:v>
      </x:c>
      <x:c r="J15" s="17" t="str">
        <x:v>Spec §2.2.6; FSR parity status bit4 handled separately.</x:v>
      </x:c>
    </x:row>
    <x:row r="16" ht="170" customHeight="1">
      <x:c r="A16" s="22" t="str">
        <x:v>1.08</x:v>
      </x:c>
      <x:c r="B16" s="17" t="str">
        <x:v>FSR parity status W1C</x:v>
      </x:c>
      <x:c r="C16" s="17" t="str">
        <x:v>Objective: Verify software clears parity-error flag only by writing one.
Setup: Configure parity-enabled RX; inject one bad parity frame and read FSR.
Stimulus: Write bit4=0; read; then write bit4=1; read FSR.
Expected: Bit4 remains set after writing zero and clears after writing one; remaining RO status unaffected.
Checker / PASS: AHB readback and expected W1C transition; record actual parity_error_status before clearing.
Coverage: FSR W1C write0/write1.</x:v>
      </x:c>
      <x:c r="D16" s="17" t="str">
        <x:v>uart_reg_fsr_w1c_test</x:v>
      </x:c>
      <x:c r="E16" s="17" t="str">
        <x:v>High</x:v>
      </x:c>
      <x:c r="F16" s="17" t="str">
        <x:v>Directed</x:v>
      </x:c>
      <x:c r="G16" s="17"/>
      <x:c r="H16" s="23" t="str">
        <x:v>NY</x:v>
      </x:c>
      <x:c r="I16" s="23" t="str">
        <x:v>M4</x:v>
      </x:c>
      <x:c r="J16" s="17" t="str">
        <x:v>Spec §2.2.6; avoid assumptions about repeated parity faults.</x:v>
      </x:c>
    </x:row>
    <x:row r="17" ht="170" customHeight="1">
      <x:c r="A17" s="22" t="str">
        <x:v>1.09</x:v>
      </x:c>
      <x:c r="B17" s="17" t="str">
        <x:v>TBR fixed-zero readback</x:v>
      </x:c>
      <x:c r="C17" s="17" t="str">
        <x:v>Objective: Verify defined TBR readback without assuming TBR stores readable data.
Setup: Reset, configure UART transmit and ensure legal AHB access to 0x018.
Stimulus: Write one TBR byte then read TBR while monitoring the TX line.
Expected: Read returns low byte 0x00; write initiates serialized transmission (separate TX checker).
Checker / PASS: AHB read equals 0 for documented low byte; TX side effect observed independently.
Coverage: TBR read after write.</x:v>
      </x:c>
      <x:c r="D17" s="17" t="str">
        <x:v>uart_reg_tbr_zero_read_test</x:v>
      </x:c>
      <x:c r="E17" s="17" t="str">
        <x:v>Medium</x:v>
      </x:c>
      <x:c r="F17" s="17" t="str">
        <x:v>Directed</x:v>
      </x:c>
      <x:c r="G17" s="17"/>
      <x:c r="H17" s="23" t="str">
        <x:v>NY</x:v>
      </x:c>
      <x:c r="I17" s="23" t="str">
        <x:v>M2</x:v>
      </x:c>
      <x:c r="J17" s="17" t="str">
        <x:v>Spec §2.2.7 explicitly says read returns 8'h00; upper reserved bits unspecified.</x:v>
      </x:c>
    </x:row>
    <x:row r="18" ht="170" customHeight="1">
      <x:c r="A18" s="22" t="str">
        <x:v>1.10</x:v>
      </x:c>
      <x:c r="B18" s="17" t="str">
        <x:v>Reserved address read error</x:v>
      </x:c>
      <x:c r="C18" s="17" t="str">
        <x:v>Objective: Verify reserved register-region reads return error without aliasing valid registers.
Setup: Reset DUT; register map only defines offsets 0x000–0x01C.
Stimulus: Read aligned word address 0x020 and a representative aligned address near 0x3FC.
Expected: HRESP=ERROR and HRDATA=0xFFFF_FFFF for reserved reads.
Checker / PASS: Check completed AHB error response and documented read data.
Coverage: Reserved region boundary/representative read.</x:v>
      </x:c>
      <x:c r="D18" s="17" t="str">
        <x:v>uart_reg_reserved_read_test</x:v>
      </x:c>
      <x:c r="E18" s="17" t="str">
        <x:v>High</x:v>
      </x:c>
      <x:c r="F18" s="17" t="str">
        <x:v>Directed</x:v>
      </x:c>
      <x:c r="G18" s="17"/>
      <x:c r="H18" s="23" t="str">
        <x:v>NY</x:v>
      </x:c>
      <x:c r="I18" s="23" t="str">
        <x:v>M1</x:v>
      </x:c>
      <x:c r="J18" s="17" t="str">
        <x:v>Spec §1.7.3 and §2.2: 0x020–0x3FF reserved.</x:v>
      </x:c>
    </x:row>
    <x:row r="19" ht="170" customHeight="1">
      <x:c r="A19" s="22" t="str">
        <x:v>1.11</x:v>
      </x:c>
      <x:c r="B19" s="17" t="str">
        <x:v>Reserved address write error</x:v>
      </x:c>
      <x:c r="C19" s="17" t="str">
        <x:v>Objective: Verify reserved region writes return error and do not modify valid registers.
Setup: Reset; snapshot readable MDR/LCR/IER values.
Stimulus: Write 32-bit patterns at aligned reserved offsets 0x020 and 0x3FC; reread valid registers.
Expected: HRESP=ERROR; valid mapped registers retain prior values.
Checker / PASS: AHB response checker and nonaliasing register comparisons.
Coverage: Reserved write response × boundary.</x:v>
      </x:c>
      <x:c r="D19" s="17" t="str">
        <x:v>uart_reg_reserved_write_test</x:v>
      </x:c>
      <x:c r="E19" s="17" t="str">
        <x:v>High</x:v>
      </x:c>
      <x:c r="F19" s="17" t="str">
        <x:v>Directed</x:v>
      </x:c>
      <x:c r="G19" s="17"/>
      <x:c r="H19" s="23" t="str">
        <x:v>NY</x:v>
      </x:c>
      <x:c r="I19" s="23" t="str">
        <x:v>M1</x:v>
      </x:c>
      <x:c r="J19" s="17" t="str">
        <x:v>Spec §1.7.3 and §2.2: reserved write no effect.</x:v>
      </x:c>
    </x:row>
    <x:row r="20" ht="24" customHeight="1">
      <x:c r="A20" s="27" t="n">
        <x:v>2</x:v>
      </x:c>
      <x:c r="B20" s="28" t="str">
        <x:v>AHB-Lite Interface Verification</x:v>
      </x:c>
      <x:c r="C20" s="28"/>
      <x:c r="D20" s="28"/>
      <x:c r="E20" s="28"/>
      <x:c r="F20" s="28"/>
      <x:c r="G20" s="28"/>
      <x:c r="H20" s="29"/>
      <x:c r="I20" s="29"/>
      <x:c r="J20" s="28"/>
    </x:row>
    <x:row r="21" ht="170" customHeight="1">
      <x:c r="A21" s="22" t="str">
        <x:v>2.01</x:v>
      </x:c>
      <x:c r="B21" s="17" t="str">
        <x:v>SINGLE AHB word read</x:v>
      </x:c>
      <x:c r="C21" s="17" t="str">
        <x:v>Objective: Verify legal 32-bit single-beat AHB read transfer.
Setup: Set HSIZE=010, HBURST=000, HTRANS=NONSEQ, HSEL=1; reset released.
Stimulus: Read MDR, DLL and LCR with settled data phase and check HREADYOUT.
Expected: Completed read presents correct HRDATA and HRESP=OKAY.
Checker / PASS: AHB monitor reconstructs accepted address and completed read data; read scoreboard.
Coverage: SINGLE × READ × register address.</x:v>
      </x:c>
      <x:c r="D21" s="17" t="str">
        <x:v>uart_ahb_single_read_test</x:v>
      </x:c>
      <x:c r="E21" s="17" t="str">
        <x:v>High</x:v>
      </x:c>
      <x:c r="F21" s="17" t="str">
        <x:v>Directed</x:v>
      </x:c>
      <x:c r="G21" s="17"/>
      <x:c r="H21" s="23" t="str">
        <x:v>NY</x:v>
      </x:c>
      <x:c r="I21" s="23" t="str">
        <x:v>M1</x:v>
      </x:c>
      <x:c r="J21" s="17" t="str">
        <x:v>Spec §1.6.1 AHB-Lite word-sized transfers.</x:v>
      </x:c>
    </x:row>
    <x:row r="22" ht="170" customHeight="1">
      <x:c r="A22" s="22" t="str">
        <x:v>2.02</x:v>
      </x:c>
      <x:c r="B22" s="17" t="str">
        <x:v>SINGLE AHB word write</x:v>
      </x:c>
      <x:c r="C22" s="17" t="str">
        <x:v>Objective: Verify legal 32-bit single-beat AHB write transfer.
Setup: Set HSIZE=010, HBURST=000, HTRANS=NONSEQ, HSEL=1.
Stimulus: Write 0/1 to MDR; hold HWDATA only in corresponding data phase; reread.
Expected: Write completes once; MDR field matches request; HRESP=OKAY.
Checker / PASS: AHB monitor matches accepted write and readback with no duplicate writes.
Coverage: SINGLE × WRITE.</x:v>
      </x:c>
      <x:c r="D22" s="17" t="str">
        <x:v>uart_ahb_single_write_test</x:v>
      </x:c>
      <x:c r="E22" s="17" t="str">
        <x:v>High</x:v>
      </x:c>
      <x:c r="F22" s="17" t="str">
        <x:v>Directed</x:v>
      </x:c>
      <x:c r="G22" s="17"/>
      <x:c r="H22" s="23" t="str">
        <x:v>NY</x:v>
      </x:c>
      <x:c r="I22" s="23" t="str">
        <x:v>M1</x:v>
      </x:c>
      <x:c r="J22" s="17" t="str">
        <x:v>Spec §1.6.1; two-phase AHB-Lite timing.</x:v>
      </x:c>
    </x:row>
    <x:row r="23" ht="170" customHeight="1">
      <x:c r="A23" s="22" t="str">
        <x:v>2.03</x:v>
      </x:c>
      <x:c r="B23" s="17" t="str">
        <x:v>One-beat undefined INCR read</x:v>
      </x:c>
      <x:c r="C23" s="17" t="str">
        <x:v>Objective: Verify HBURST=001 encoding only when one transfer is issued (read).
Setup: Reset; HSIZE=010; HBURST=001; issue only NONSEQ beat, never follow with SEQ.
Stimulus: Perform one legal 32-bit read of MDR or DLL.
Expected: DUT accepts the single beat; no unsupported multi-beat expectation.
Checker / PASS: Completed bus transaction checked for correct status and content.
Coverage: INCR-coded 1 beat × read.</x:v>
      </x:c>
      <x:c r="D23" s="17" t="str">
        <x:v>uart_ahb_incr1_read_test</x:v>
      </x:c>
      <x:c r="E23" s="17" t="str">
        <x:v>Medium</x:v>
      </x:c>
      <x:c r="F23" s="17" t="str">
        <x:v>Directed</x:v>
      </x:c>
      <x:c r="G23" s="17"/>
      <x:c r="H23" s="23" t="str">
        <x:v>NY</x:v>
      </x:c>
      <x:c r="I23" s="23" t="str">
        <x:v>M1</x:v>
      </x:c>
      <x:c r="J23" s="17" t="str">
        <x:v>Spec §1.6.1 allows HBURST=001 only for a single beat.</x:v>
      </x:c>
    </x:row>
    <x:row r="24" ht="170" customHeight="1">
      <x:c r="A24" s="22" t="str">
        <x:v>2.04</x:v>
      </x:c>
      <x:c r="B24" s="17" t="str">
        <x:v>One-beat undefined INCR write</x:v>
      </x:c>
      <x:c r="C24" s="17" t="str">
        <x:v>Objective: Verify HBURST=001 encoding only when one transfer is issued (write).
Setup: Reset; HSIZE=010; HBURST=001; issue only NONSEQ beat, never follow with SEQ.
Stimulus: Perform one legal 32-bit write of MDR or DLL.
Expected: DUT accepts the single beat; no unsupported multi-beat expectation.
Checker / PASS: Completed bus transaction checked for correct status and content.
Coverage: INCR-coded 1 beat × write.</x:v>
      </x:c>
      <x:c r="D24" s="17" t="str">
        <x:v>uart_ahb_incr1_write_test</x:v>
      </x:c>
      <x:c r="E24" s="17" t="str">
        <x:v>Medium</x:v>
      </x:c>
      <x:c r="F24" s="17" t="str">
        <x:v>Directed</x:v>
      </x:c>
      <x:c r="G24" s="17"/>
      <x:c r="H24" s="23" t="str">
        <x:v>NY</x:v>
      </x:c>
      <x:c r="I24" s="23" t="str">
        <x:v>M1</x:v>
      </x:c>
      <x:c r="J24" s="17" t="str">
        <x:v>Spec §1.6.1 allows HBURST=001 only for a single beat.</x:v>
      </x:c>
    </x:row>
    <x:row r="25" ht="170" customHeight="1">
      <x:c r="A25" s="22" t="str">
        <x:v>2.05</x:v>
      </x:c>
      <x:c r="B25" s="17" t="str">
        <x:v>AHB read with HREADYOUT stalls</x:v>
      </x:c>
      <x:c r="C25" s="17" t="str">
        <x:v>Objective: Verify read address/data retention across real HREADYOUT wait states.
Setup: Reset; choose legal register and SINGLE word transaction.
Stimulus: Drive read while DUT extends transfer; hold required controls/data until complete.
Expected: Transfer completes exactly once after HREADYOUT=1; no duplicate data or phase corruption.
Checker / PASS: Monitor tracks accepted address phase separately from completing data phase; SVA optional.
Coverage: READ × observed wait-cycle count.</x:v>
      </x:c>
      <x:c r="D25" s="17" t="str">
        <x:v>uart_ahb_read_wait_test</x:v>
      </x:c>
      <x:c r="E25" s="17" t="str">
        <x:v>High</x:v>
      </x:c>
      <x:c r="F25" s="17" t="str">
        <x:v>Directed</x:v>
      </x:c>
      <x:c r="G25" s="17"/>
      <x:c r="H25" s="23" t="str">
        <x:v>NY</x:v>
      </x:c>
      <x:c r="I25" s="23" t="str">
        <x:v>M1</x:v>
      </x:c>
      <x:c r="J25" s="17" t="str">
        <x:v>Spec §1.6.1 + AMBA AHB-Lite; DUT may not stall in all register cases.</x:v>
      </x:c>
    </x:row>
    <x:row r="26" ht="170" customHeight="1">
      <x:c r="A26" s="22" t="str">
        <x:v>2.06</x:v>
      </x:c>
      <x:c r="B26" s="17" t="str">
        <x:v>AHB write with HREADYOUT stalls</x:v>
      </x:c>
      <x:c r="C26" s="17" t="str">
        <x:v>Objective: Verify write address/data retention across real HREADYOUT wait states.
Setup: Reset; choose legal register and SINGLE word transaction.
Stimulus: Drive write while DUT extends transfer; hold required controls/data until complete.
Expected: Transfer completes exactly once after HREADYOUT=1; no duplicate data or phase corruption.
Checker / PASS: Monitor tracks accepted address phase separately from completing data phase; SVA optional.
Coverage: WRITE × observed wait-cycle count.</x:v>
      </x:c>
      <x:c r="D26" s="17" t="str">
        <x:v>uart_ahb_write_wait_test</x:v>
      </x:c>
      <x:c r="E26" s="17" t="str">
        <x:v>High</x:v>
      </x:c>
      <x:c r="F26" s="17" t="str">
        <x:v>Directed</x:v>
      </x:c>
      <x:c r="G26" s="17"/>
      <x:c r="H26" s="23" t="str">
        <x:v>NY</x:v>
      </x:c>
      <x:c r="I26" s="23" t="str">
        <x:v>M1</x:v>
      </x:c>
      <x:c r="J26" s="17" t="str">
        <x:v>Spec §1.6.1 + AMBA AHB-Lite; DUT may not stall in all register cases.</x:v>
      </x:c>
    </x:row>
    <x:row r="27" ht="170" customHeight="1">
      <x:c r="A27" s="22" t="str">
        <x:v>2.07</x:v>
      </x:c>
      <x:c r="B27" s="17" t="str">
        <x:v>Inactive selection and IDLE</x:v>
      </x:c>
      <x:c r="C27" s="17" t="str">
        <x:v>Objective: Verify IDLE or unselected AHB cycles do not cause register side effects.
Setup: Reset; record MDR and DLL.
Stimulus: Drive address/control with HSEL=0 or HTRANS=IDLE; vary HWRITE/HADDR/HWDATA.
Expected: No register write accepted; subsequent legal reads show unchanged values.
Checker / PASS: AHB monitor filters unselected/IDLE transfers; compare stable register data.
Coverage: HSEL × IDLE gating.</x:v>
      </x:c>
      <x:c r="D27" s="17" t="str">
        <x:v>uart_ahb_idle_hsel_test</x:v>
      </x:c>
      <x:c r="E27" s="17" t="str">
        <x:v>High</x:v>
      </x:c>
      <x:c r="F27" s="17" t="str">
        <x:v>Directed</x:v>
      </x:c>
      <x:c r="G27" s="17"/>
      <x:c r="H27" s="23" t="str">
        <x:v>NY</x:v>
      </x:c>
      <x:c r="I27" s="23" t="str">
        <x:v>M1</x:v>
      </x:c>
      <x:c r="J27" s="17" t="str">
        <x:v>AMBA AHB-Lite qualification; legal DUT subset.</x:v>
      </x:c>
    </x:row>
    <x:row r="28" ht="170" customHeight="1">
      <x:c r="A28" s="22" t="str">
        <x:v>2.08</x:v>
      </x:c>
      <x:c r="B28" s="17" t="str">
        <x:v>Back-to-back single transfers</x:v>
      </x:c>
      <x:c r="C28" s="17" t="str">
        <x:v>Objective: Verify AHB pipelining with consecutive accepted single-beat transactions.
Setup: Reset; ensure no illegal burst extension.
Stimulus: Interleave write MDR, write DLL, read MDR, read DLL without inserting unnecessary IDLE.
Expected: Writes/readbacks occur once and preserve address/data phase association.
Checker / PASS: Order-aware AHB scoreboard; count all accepted/completed transfers.
Coverage: Consecutive READ/WRITE × transfer ordering.</x:v>
      </x:c>
      <x:c r="D28" s="17" t="str">
        <x:v>uart_ahb_back_to_back_test</x:v>
      </x:c>
      <x:c r="E28" s="17" t="str">
        <x:v>High</x:v>
      </x:c>
      <x:c r="F28" s="17" t="str">
        <x:v>Directed</x:v>
      </x:c>
      <x:c r="G28" s="17"/>
      <x:c r="H28" s="23" t="str">
        <x:v>NY</x:v>
      </x:c>
      <x:c r="I28" s="23" t="str">
        <x:v>M1</x:v>
      </x:c>
      <x:c r="J28" s="17" t="str">
        <x:v>Spec §1.6.1; check both when bridge stalls and when ready.</x:v>
      </x:c>
    </x:row>
    <x:row r="29" ht="24" customHeight="1">
      <x:c r="A29" s="27" t="n">
        <x:v>3</x:v>
      </x:c>
      <x:c r="B29" s="28" t="str">
        <x:v>Baud Generator Verification</x:v>
      </x:c>
      <x:c r="C29" s="28"/>
      <x:c r="D29" s="28"/>
      <x:c r="E29" s="28"/>
      <x:c r="F29" s="28"/>
      <x:c r="G29" s="28"/>
      <x:c r="H29" s="29"/>
      <x:c r="I29" s="29"/>
      <x:c r="J29" s="28"/>
    </x:row>
    <x:row r="30" ht="170" customHeight="1">
      <x:c r="A30" s="22" t="str">
        <x:v>3.01</x:v>
      </x:c>
      <x:c r="B30" s="17" t="str">
        <x:v>Baud timing 2400 bps / 16×</x:v>
      </x:c>
      <x:c r="C30" s="17" t="str">
        <x:v>Objective: Verify actual UART bit timing for nominal 2400 baud at 16× oversampling.
Setup: HCLK=100MHz; MDR.OSM_SEL=0; DLL=0x2C; DLH=0x0A; LCR=0x23 (8N1).
Stimulus: Transmit 0x55 and measure start, data and stop intervals on uart_txd.
Expected: Bit period=2604×16×10ns=416640ns (actual 2400.15 baud); no fixed ideal nominal timing assumption.
Checker / PASS: UART monitor measures intervals against programmed divisor with clock-quantization tolerance; AHB setup must succeed.
Coverage: Baud example 2400 × OSM16.</x:v>
      </x:c>
      <x:c r="D30" s="17" t="str">
        <x:v>uart_baud_2400_osm16_test</x:v>
      </x:c>
      <x:c r="E30" s="17" t="str">
        <x:v>Medium</x:v>
      </x:c>
      <x:c r="F30" s="17" t="str">
        <x:v>Directed</x:v>
      </x:c>
      <x:c r="G30" s="17"/>
      <x:c r="H30" s="23" t="str">
        <x:v>NY</x:v>
      </x:c>
      <x:c r="I30" s="23" t="str">
        <x:v>M4</x:v>
      </x:c>
      <x:c r="J30" s="17" t="str">
        <x:v>Spec §1.5 Table 1-4; divisor=2604.</x:v>
      </x:c>
    </x:row>
    <x:row r="31" ht="170" customHeight="1">
      <x:c r="A31" s="22" t="str">
        <x:v>3.02</x:v>
      </x:c>
      <x:c r="B31" s="17" t="str">
        <x:v>Baud timing 4800 bps / 16×</x:v>
      </x:c>
      <x:c r="C31" s="17" t="str">
        <x:v>Objective: Verify actual UART bit timing for nominal 4800 baud at 16× oversampling.
Setup: HCLK=100MHz; MDR.OSM_SEL=0; DLL=0x16; DLH=0x05; LCR=0x23 (8N1).
Stimulus: Transmit 0x55 and measure start, data and stop intervals on uart_txd.
Expected: Bit period=1302×16×10ns=208320ns (actual 4800.31 baud); no fixed ideal nominal timing assumption.
Checker / PASS: UART monitor measures intervals against programmed divisor with clock-quantization tolerance; AHB setup must succeed.
Coverage: Baud example 4800 × OSM16.</x:v>
      </x:c>
      <x:c r="D31" s="17" t="str">
        <x:v>uart_baud_4800_osm16_test</x:v>
      </x:c>
      <x:c r="E31" s="17" t="str">
        <x:v>Medium</x:v>
      </x:c>
      <x:c r="F31" s="17" t="str">
        <x:v>Directed</x:v>
      </x:c>
      <x:c r="G31" s="17"/>
      <x:c r="H31" s="23" t="str">
        <x:v>NY</x:v>
      </x:c>
      <x:c r="I31" s="23" t="str">
        <x:v>M4</x:v>
      </x:c>
      <x:c r="J31" s="17" t="str">
        <x:v>Spec §1.5 Table 1-4; divisor=1302.</x:v>
      </x:c>
    </x:row>
    <x:row r="32" ht="170" customHeight="1">
      <x:c r="A32" s="22" t="str">
        <x:v>3.03</x:v>
      </x:c>
      <x:c r="B32" s="17" t="str">
        <x:v>Baud timing 9600 bps / 16×</x:v>
      </x:c>
      <x:c r="C32" s="17" t="str">
        <x:v>Objective: Verify actual UART bit timing for nominal 9600 baud at 16× oversampling.
Setup: HCLK=100MHz; MDR.OSM_SEL=0; DLL=0x8B; DLH=0x02; LCR=0x23 (8N1).
Stimulus: Transmit 0x55 and measure start, data and stop intervals on uart_txd.
Expected: Bit period=651×16×10ns=104160ns (actual 9600.61 baud); no fixed ideal nominal timing assumption.
Checker / PASS: UART monitor measures intervals against programmed divisor with clock-quantization tolerance; AHB setup must succeed.
Coverage: Baud example 9600 × OSM16.</x:v>
      </x:c>
      <x:c r="D32" s="17" t="str">
        <x:v>uart_baud_9600_osm16_test</x:v>
      </x:c>
      <x:c r="E32" s="17" t="str">
        <x:v>High</x:v>
      </x:c>
      <x:c r="F32" s="17" t="str">
        <x:v>Directed</x:v>
      </x:c>
      <x:c r="G32" s="17"/>
      <x:c r="H32" s="23" t="str">
        <x:v>NY</x:v>
      </x:c>
      <x:c r="I32" s="23" t="str">
        <x:v>M4</x:v>
      </x:c>
      <x:c r="J32" s="17" t="str">
        <x:v>Spec §1.5 Table 1-4; divisor=651.</x:v>
      </x:c>
    </x:row>
    <x:row r="33" ht="170" customHeight="1">
      <x:c r="A33" s="22" t="str">
        <x:v>3.04</x:v>
      </x:c>
      <x:c r="B33" s="17" t="str">
        <x:v>Baud timing 19200 bps / 16×</x:v>
      </x:c>
      <x:c r="C33" s="17" t="str">
        <x:v>Objective: Verify actual UART bit timing for nominal 19200 baud at 16× oversampling.
Setup: HCLK=100MHz; MDR.OSM_SEL=0; DLL=0x45; DLH=0x01; LCR=0x23 (8N1).
Stimulus: Transmit 0x55 and measure start, data and stop intervals on uart_txd.
Expected: Bit period=325×16×10ns=52000ns (actual 19230.77 baud); no fixed ideal nominal timing assumption.
Checker / PASS: UART monitor measures intervals against programmed divisor with clock-quantization tolerance; AHB setup must succeed.
Coverage: Baud example 19200 × OSM16.</x:v>
      </x:c>
      <x:c r="D33" s="17" t="str">
        <x:v>uart_baud_19200_osm16_test</x:v>
      </x:c>
      <x:c r="E33" s="17" t="str">
        <x:v>Medium</x:v>
      </x:c>
      <x:c r="F33" s="17" t="str">
        <x:v>Directed</x:v>
      </x:c>
      <x:c r="G33" s="17"/>
      <x:c r="H33" s="23" t="str">
        <x:v>NY</x:v>
      </x:c>
      <x:c r="I33" s="23" t="str">
        <x:v>M4</x:v>
      </x:c>
      <x:c r="J33" s="17" t="str">
        <x:v>Spec §1.5 Table 1-4; divisor=325.</x:v>
      </x:c>
    </x:row>
    <x:row r="34" ht="170" customHeight="1">
      <x:c r="A34" s="22" t="str">
        <x:v>3.05</x:v>
      </x:c>
      <x:c r="B34" s="17" t="str">
        <x:v>Baud timing 38400 bps / 16×</x:v>
      </x:c>
      <x:c r="C34" s="17" t="str">
        <x:v>Objective: Verify actual UART bit timing for nominal 38400 baud at 16× oversampling.
Setup: HCLK=100MHz; MDR.OSM_SEL=0; DLL=0xA3; DLH=0x00; LCR=0x23 (8N1).
Stimulus: Transmit 0x55 and measure start, data and stop intervals on uart_txd.
Expected: Bit period=163×16×10ns=26080ns (actual 38343.56 baud); no fixed ideal nominal timing assumption.
Checker / PASS: UART monitor measures intervals against programmed divisor with clock-quantization tolerance; AHB setup must succeed.
Coverage: Baud example 38400 × OSM16.</x:v>
      </x:c>
      <x:c r="D34" s="17" t="str">
        <x:v>uart_baud_38400_osm16_test</x:v>
      </x:c>
      <x:c r="E34" s="17" t="str">
        <x:v>Medium</x:v>
      </x:c>
      <x:c r="F34" s="17" t="str">
        <x:v>Directed</x:v>
      </x:c>
      <x:c r="G34" s="17"/>
      <x:c r="H34" s="23" t="str">
        <x:v>NY</x:v>
      </x:c>
      <x:c r="I34" s="23" t="str">
        <x:v>M4</x:v>
      </x:c>
      <x:c r="J34" s="17" t="str">
        <x:v>Spec §1.5 Table 1-4; divisor=163.</x:v>
      </x:c>
    </x:row>
    <x:row r="35" ht="170" customHeight="1">
      <x:c r="A35" s="22" t="str">
        <x:v>3.06</x:v>
      </x:c>
      <x:c r="B35" s="17" t="str">
        <x:v>Baud timing 76800 bps / 16×</x:v>
      </x:c>
      <x:c r="C35" s="17" t="str">
        <x:v>Objective: Verify actual UART bit timing for nominal 76800 baud at 16× oversampling.
Setup: HCLK=100MHz; MDR.OSM_SEL=0; DLL=0x51; DLH=0x00; LCR=0x23 (8N1).
Stimulus: Transmit 0x55 and measure start, data and stop intervals on uart_txd.
Expected: Bit period=81×16×10ns=12960ns (actual 77160.49 baud); no fixed ideal nominal timing assumption.
Checker / PASS: UART monitor measures intervals against programmed divisor with clock-quantization tolerance; AHB setup must succeed.
Coverage: Baud example 76800 × OSM16.</x:v>
      </x:c>
      <x:c r="D35" s="17" t="str">
        <x:v>uart_baud_76800_osm16_test</x:v>
      </x:c>
      <x:c r="E35" s="17" t="str">
        <x:v>Medium</x:v>
      </x:c>
      <x:c r="F35" s="17" t="str">
        <x:v>Directed</x:v>
      </x:c>
      <x:c r="G35" s="17"/>
      <x:c r="H35" s="23" t="str">
        <x:v>NY</x:v>
      </x:c>
      <x:c r="I35" s="23" t="str">
        <x:v>M4</x:v>
      </x:c>
      <x:c r="J35" s="17" t="str">
        <x:v>Spec §1.5 Table 1-4; divisor=81.</x:v>
      </x:c>
    </x:row>
    <x:row r="36" ht="170" customHeight="1">
      <x:c r="A36" s="22" t="str">
        <x:v>3.07</x:v>
      </x:c>
      <x:c r="B36" s="17" t="str">
        <x:v>Baud timing 115200 bps / 16×</x:v>
      </x:c>
      <x:c r="C36" s="17" t="str">
        <x:v>Objective: Verify actual UART bit timing for nominal 115200 baud at 16× oversampling.
Setup: HCLK=100MHz; MDR.OSM_SEL=0; DLL=0x36; DLH=0x00; LCR=0x23 (8N1).
Stimulus: Transmit 0x55 and measure start, data and stop intervals on uart_txd.
Expected: Bit period=54×16×10ns=8640ns (actual 115740.74 baud); no fixed ideal nominal timing assumption.
Checker / PASS: UART monitor measures intervals against programmed divisor with clock-quantization tolerance; AHB setup must succeed.
Coverage: Baud example 115200 × OSM16.</x:v>
      </x:c>
      <x:c r="D36" s="17" t="str">
        <x:v>uart_baud_115200_osm16_test</x:v>
      </x:c>
      <x:c r="E36" s="17" t="str">
        <x:v>High</x:v>
      </x:c>
      <x:c r="F36" s="17" t="str">
        <x:v>Directed</x:v>
      </x:c>
      <x:c r="G36" s="17"/>
      <x:c r="H36" s="23" t="str">
        <x:v>NY</x:v>
      </x:c>
      <x:c r="I36" s="23" t="str">
        <x:v>M4</x:v>
      </x:c>
      <x:c r="J36" s="17" t="str">
        <x:v>Spec §1.5 Table 1-4; divisor=54.</x:v>
      </x:c>
    </x:row>
    <x:row r="37" ht="170" customHeight="1">
      <x:c r="A37" s="22" t="str">
        <x:v>3.08</x:v>
      </x:c>
      <x:c r="B37" s="17" t="str">
        <x:v>Baud timing 2400 bps / 13×</x:v>
      </x:c>
      <x:c r="C37" s="17" t="str">
        <x:v>Objective: Verify actual UART bit timing for nominal 2400 baud at 13× oversampling.
Setup: HCLK=100MHz; MDR.OSM_SEL=1; DLL=0x85; DLH=0x0C; LCR=0x23 (8N1).
Stimulus: Transmit 0x55 and measure start, data and stop intervals on uart_txd.
Expected: Bit period=3205×13×10ns=416650ns (actual 2400.10 baud); no fixed ideal nominal timing assumption.
Checker / PASS: UART monitor measures intervals against programmed divisor with clock-quantization tolerance; AHB setup must succeed.
Coverage: Baud example 2400 × OSM13.</x:v>
      </x:c>
      <x:c r="D37" s="17" t="str">
        <x:v>uart_baud_2400_osm13_test</x:v>
      </x:c>
      <x:c r="E37" s="17" t="str">
        <x:v>Medium</x:v>
      </x:c>
      <x:c r="F37" s="17" t="str">
        <x:v>Directed</x:v>
      </x:c>
      <x:c r="G37" s="17"/>
      <x:c r="H37" s="23" t="str">
        <x:v>NY</x:v>
      </x:c>
      <x:c r="I37" s="23" t="str">
        <x:v>M4</x:v>
      </x:c>
      <x:c r="J37" s="17" t="str">
        <x:v>Spec §1.5 Table 1-5; divisor=3205.</x:v>
      </x:c>
    </x:row>
    <x:row r="38" ht="170" customHeight="1">
      <x:c r="A38" s="22" t="str">
        <x:v>3.09</x:v>
      </x:c>
      <x:c r="B38" s="17" t="str">
        <x:v>Baud timing 4800 bps / 13×</x:v>
      </x:c>
      <x:c r="C38" s="17" t="str">
        <x:v>Objective: Verify actual UART bit timing for nominal 4800 baud at 13× oversampling.
Setup: HCLK=100MHz; MDR.OSM_SEL=1; DLL=0x42; DLH=0x06; LCR=0x23 (8N1).
Stimulus: Transmit 0x55 and measure start, data and stop intervals on uart_txd.
Expected: Bit period=1602×13×10ns=208260ns (actual 4801.69 baud); no fixed ideal nominal timing assumption.
Checker / PASS: UART monitor measures intervals against programmed divisor with clock-quantization tolerance; AHB setup must succeed.
Coverage: Baud example 4800 × OSM13.</x:v>
      </x:c>
      <x:c r="D38" s="17" t="str">
        <x:v>uart_baud_4800_osm13_test</x:v>
      </x:c>
      <x:c r="E38" s="17" t="str">
        <x:v>Medium</x:v>
      </x:c>
      <x:c r="F38" s="17" t="str">
        <x:v>Directed</x:v>
      </x:c>
      <x:c r="G38" s="17"/>
      <x:c r="H38" s="23" t="str">
        <x:v>NY</x:v>
      </x:c>
      <x:c r="I38" s="23" t="str">
        <x:v>M4</x:v>
      </x:c>
      <x:c r="J38" s="17" t="str">
        <x:v>Spec §1.5 Table 1-5; divisor=1602.</x:v>
      </x:c>
    </x:row>
    <x:row r="39" ht="170" customHeight="1">
      <x:c r="A39" s="22" t="str">
        <x:v>3.10</x:v>
      </x:c>
      <x:c r="B39" s="17" t="str">
        <x:v>Baud timing 9600 bps / 13×</x:v>
      </x:c>
      <x:c r="C39" s="17" t="str">
        <x:v>Objective: Verify actual UART bit timing for nominal 9600 baud at 13× oversampling.
Setup: HCLK=100MHz; MDR.OSM_SEL=1; DLL=0x21; DLH=0x03; LCR=0x23 (8N1).
Stimulus: Transmit 0x55 and measure start, data and stop intervals on uart_txd.
Expected: Bit period=801×13×10ns=104130ns (actual 9603.38 baud); no fixed ideal nominal timing assumption.
Checker / PASS: UART monitor measures intervals against programmed divisor with clock-quantization tolerance; AHB setup must succeed.
Coverage: Baud example 9600 × OSM13.</x:v>
      </x:c>
      <x:c r="D39" s="17" t="str">
        <x:v>uart_baud_9600_osm13_test</x:v>
      </x:c>
      <x:c r="E39" s="17" t="str">
        <x:v>High</x:v>
      </x:c>
      <x:c r="F39" s="17" t="str">
        <x:v>Directed</x:v>
      </x:c>
      <x:c r="G39" s="17"/>
      <x:c r="H39" s="23" t="str">
        <x:v>NY</x:v>
      </x:c>
      <x:c r="I39" s="23" t="str">
        <x:v>M4</x:v>
      </x:c>
      <x:c r="J39" s="17" t="str">
        <x:v>Spec §1.5 Table 1-5; divisor=801.</x:v>
      </x:c>
    </x:row>
    <x:row r="40" ht="170" customHeight="1">
      <x:c r="A40" s="22" t="str">
        <x:v>3.11</x:v>
      </x:c>
      <x:c r="B40" s="17" t="str">
        <x:v>Baud timing 19200 bps / 13×</x:v>
      </x:c>
      <x:c r="C40" s="17" t="str">
        <x:v>Objective: Verify actual UART bit timing for nominal 19200 baud at 13× oversampling.
Setup: HCLK=100MHz; MDR.OSM_SEL=1; DLL=0x91; DLH=0x01; LCR=0x23 (8N1).
Stimulus: Transmit 0x55 and measure start, data and stop intervals on uart_txd.
Expected: Bit period=401×13×10ns=52130ns (actual 19182.81 baud); no fixed ideal nominal timing assumption.
Checker / PASS: UART monitor measures intervals against programmed divisor with clock-quantization tolerance; AHB setup must succeed.
Coverage: Baud example 19200 × OSM13.</x:v>
      </x:c>
      <x:c r="D40" s="17" t="str">
        <x:v>uart_baud_19200_osm13_test</x:v>
      </x:c>
      <x:c r="E40" s="17" t="str">
        <x:v>Medium</x:v>
      </x:c>
      <x:c r="F40" s="17" t="str">
        <x:v>Directed</x:v>
      </x:c>
      <x:c r="G40" s="17"/>
      <x:c r="H40" s="23" t="str">
        <x:v>NY</x:v>
      </x:c>
      <x:c r="I40" s="23" t="str">
        <x:v>M4</x:v>
      </x:c>
      <x:c r="J40" s="17" t="str">
        <x:v>Spec §1.5 Table 1-5; divisor=401.</x:v>
      </x:c>
    </x:row>
    <x:row r="41" ht="170" customHeight="1">
      <x:c r="A41" s="22" t="str">
        <x:v>3.12</x:v>
      </x:c>
      <x:c r="B41" s="17" t="str">
        <x:v>Baud timing 38400 bps / 13×</x:v>
      </x:c>
      <x:c r="C41" s="17" t="str">
        <x:v>Objective: Verify actual UART bit timing for nominal 38400 baud at 13× oversampling.
Setup: HCLK=100MHz; MDR.OSM_SEL=1; DLL=0xC8; DLH=0x00; LCR=0x23 (8N1).
Stimulus: Transmit 0x55 and measure start, data and stop intervals on uart_txd.
Expected: Bit period=200×13×10ns=26000ns (actual 38461.54 baud); no fixed ideal nominal timing assumption.
Checker / PASS: UART monitor measures intervals against programmed divisor with clock-quantization tolerance; AHB setup must succeed.
Coverage: Baud example 38400 × OSM13.</x:v>
      </x:c>
      <x:c r="D41" s="17" t="str">
        <x:v>uart_baud_38400_osm13_test</x:v>
      </x:c>
      <x:c r="E41" s="17" t="str">
        <x:v>Medium</x:v>
      </x:c>
      <x:c r="F41" s="17" t="str">
        <x:v>Directed</x:v>
      </x:c>
      <x:c r="G41" s="17"/>
      <x:c r="H41" s="23" t="str">
        <x:v>NY</x:v>
      </x:c>
      <x:c r="I41" s="23" t="str">
        <x:v>M4</x:v>
      </x:c>
      <x:c r="J41" s="17" t="str">
        <x:v>Spec §1.5 Table 1-5; divisor=200.</x:v>
      </x:c>
    </x:row>
    <x:row r="42" ht="170" customHeight="1">
      <x:c r="A42" s="22" t="str">
        <x:v>3.13</x:v>
      </x:c>
      <x:c r="B42" s="17" t="str">
        <x:v>Baud timing 76800 bps / 13×</x:v>
      </x:c>
      <x:c r="C42" s="17" t="str">
        <x:v>Objective: Verify actual UART bit timing for nominal 76800 baud at 13× oversampling.
Setup: HCLK=100MHz; MDR.OSM_SEL=1; DLL=0x64; DLH=0x00; LCR=0x23 (8N1).
Stimulus: Transmit 0x55 and measure start, data and stop intervals on uart_txd.
Expected: Bit period=100×13×10ns=13000ns (actual 76923.08 baud); no fixed ideal nominal timing assumption.
Checker / PASS: UART monitor measures intervals against programmed divisor with clock-quantization tolerance; AHB setup must succeed.
Coverage: Baud example 76800 × OSM13.</x:v>
      </x:c>
      <x:c r="D42" s="17" t="str">
        <x:v>uart_baud_76800_osm13_test</x:v>
      </x:c>
      <x:c r="E42" s="17" t="str">
        <x:v>Medium</x:v>
      </x:c>
      <x:c r="F42" s="17" t="str">
        <x:v>Directed</x:v>
      </x:c>
      <x:c r="G42" s="17"/>
      <x:c r="H42" s="23" t="str">
        <x:v>NY</x:v>
      </x:c>
      <x:c r="I42" s="23" t="str">
        <x:v>M4</x:v>
      </x:c>
      <x:c r="J42" s="17" t="str">
        <x:v>Spec §1.5 Table 1-5; divisor=100.</x:v>
      </x:c>
    </x:row>
    <x:row r="43" ht="170" customHeight="1">
      <x:c r="A43" s="22" t="str">
        <x:v>3.14</x:v>
      </x:c>
      <x:c r="B43" s="17" t="str">
        <x:v>Baud timing 115200 bps / 13×</x:v>
      </x:c>
      <x:c r="C43" s="17" t="str">
        <x:v>Objective: Verify actual UART bit timing for nominal 115200 baud at 13× oversampling.
Setup: HCLK=100MHz; MDR.OSM_SEL=1; DLL=0x43; DLH=0x00; LCR=0x23 (8N1).
Stimulus: Transmit 0x55 and measure start, data and stop intervals on uart_txd.
Expected: Bit period=67×13×10ns=8710ns (actual 114810.56 baud); no fixed ideal nominal timing assumption.
Checker / PASS: UART monitor measures intervals against programmed divisor with clock-quantization tolerance; AHB setup must succeed.
Coverage: Baud example 115200 × OSM13.</x:v>
      </x:c>
      <x:c r="D43" s="17" t="str">
        <x:v>uart_baud_115200_osm13_test</x:v>
      </x:c>
      <x:c r="E43" s="17" t="str">
        <x:v>High</x:v>
      </x:c>
      <x:c r="F43" s="17" t="str">
        <x:v>Directed</x:v>
      </x:c>
      <x:c r="G43" s="17"/>
      <x:c r="H43" s="23" t="str">
        <x:v>NY</x:v>
      </x:c>
      <x:c r="I43" s="23" t="str">
        <x:v>M4</x:v>
      </x:c>
      <x:c r="J43" s="17" t="str">
        <x:v>Spec §1.5 Table 1-5; divisor=67.</x:v>
      </x:c>
    </x:row>
    <x:row r="44" ht="170" customHeight="1">
      <x:c r="A44" s="22" t="str">
        <x:v>3.15</x:v>
      </x:c>
      <x:c r="B44" s="17" t="str">
        <x:v>Divisor legal min bound</x:v>
      </x:c>
      <x:c r="C44" s="17" t="str">
        <x:v>Objective: Verify divisor=1 is accepted as a legal programmable boundary.
Setup: HCLK=100MHz; program DLL=0x01, DLH=0x00; BGE=1; OSM16.
Stimulus: Read DLL/DLH back, then observe serial activity with a test-specific safe timeout.
Expected: Divisor fields retain 0x0001; generated timing, if measured, corresponds to divisor×16 HCLK cycles per bit.
Checker / PASS: RAL/bus readback; timing checker only when simulation budget permits.
Coverage: Divisor boundary min.</x:v>
      </x:c>
      <x:c r="D44" s="17" t="str">
        <x:v>uart_baud_divisor_min_test</x:v>
      </x:c>
      <x:c r="E44" s="17" t="str">
        <x:v>Low</x:v>
      </x:c>
      <x:c r="F44" s="17" t="str">
        <x:v>Directed</x:v>
      </x:c>
      <x:c r="G44" s="17"/>
      <x:c r="H44" s="23" t="str">
        <x:v>NY</x:v>
      </x:c>
      <x:c r="I44" s="23" t="str">
        <x:v>M5</x:v>
      </x:c>
      <x:c r="J44" s="17" t="str">
        <x:v>Spec §1.5 divisor 1–65535. Divisor 65535 at 100MHz yields a very slow frame; extended regression.</x:v>
      </x:c>
    </x:row>
    <x:row r="45" ht="170" customHeight="1">
      <x:c r="A45" s="22" t="str">
        <x:v>3.16</x:v>
      </x:c>
      <x:c r="B45" s="17" t="str">
        <x:v>Divisor legal max bound</x:v>
      </x:c>
      <x:c r="C45" s="17" t="str">
        <x:v>Objective: Verify divisor=65535 is accepted as a legal programmable boundary.
Setup: HCLK=100MHz; program DLL=0xFF, DLH=0xFF; BGE=1; OSM16.
Stimulus: Read DLL/DLH back, then observe serial activity with a test-specific safe timeout.
Expected: Divisor fields retain 0xFFFF; generated timing, if measured, corresponds to divisor×16 HCLK cycles per bit.
Checker / PASS: RAL/bus readback; timing checker only when simulation budget permits.
Coverage: Divisor boundary max.</x:v>
      </x:c>
      <x:c r="D45" s="17" t="str">
        <x:v>uart_baud_divisor_max_test</x:v>
      </x:c>
      <x:c r="E45" s="17" t="str">
        <x:v>Low</x:v>
      </x:c>
      <x:c r="F45" s="17" t="str">
        <x:v>Directed</x:v>
      </x:c>
      <x:c r="G45" s="17"/>
      <x:c r="H45" s="23" t="str">
        <x:v>NY</x:v>
      </x:c>
      <x:c r="I45" s="23" t="str">
        <x:v>M5</x:v>
      </x:c>
      <x:c r="J45" s="17" t="str">
        <x:v>Spec §1.5 divisor 1–65535. Divisor 65535 at 100MHz yields a very slow frame; extended regression.</x:v>
      </x:c>
    </x:row>
    <x:row r="46" ht="24" customHeight="1">
      <x:c r="A46" s="27" t="n">
        <x:v>4</x:v>
      </x:c>
      <x:c r="B46" s="28" t="str">
        <x:v>UART Transmit Verification</x:v>
      </x:c>
      <x:c r="C46" s="28"/>
      <x:c r="D46" s="28"/>
      <x:c r="E46" s="28"/>
      <x:c r="F46" s="28"/>
      <x:c r="G46" s="28"/>
      <x:c r="H46" s="29"/>
      <x:c r="I46" s="29"/>
      <x:c r="J46" s="28"/>
    </x:row>
    <x:row r="47" ht="170" customHeight="1">
      <x:c r="A47" s="22" t="str">
        <x:v>4.01</x:v>
      </x:c>
      <x:c r="B47" s="17" t="str">
        <x:v>TX 5N1 / 16×</x:v>
      </x:c>
      <x:c r="C47" s="17" t="str">
        <x:v>Objective: Verify TX frame with 5-bit none parity, 1 stop bit(s) and 16× sampling.
Setup: Reset; HCLK=100MHz; MDR=0x00, DLL=0x36, DLH=0; LCR=0x20; baud ≈115740.7 bps.
Stimulus: AHB write TBR=0x15 (from 0x55); UART VIP monitors uart_txd.
Expected: Start=0, 5 LSB-first bits (0x15), NONE parity (omitted), 1 stop bit(s)=1.
Checker / PASS: AHB write completes; UART monitor checks decoded value, parity, stop count and bit period; TX scoreboard compares exactly one expected vs observed frame.
Coverage: TX × WLS5 × NONE × STB1 × OSM16.</x:v>
      </x:c>
      <x:c r="D47" s="17" t="str">
        <x:v>uart_tx_w5_none_s1_osm16_test</x:v>
      </x:c>
      <x:c r="E47" s="17" t="str">
        <x:v>Medium</x:v>
      </x:c>
      <x:c r="F47" s="17" t="str">
        <x:v>Directed</x:v>
      </x:c>
      <x:c r="G47" s="17"/>
      <x:c r="H47" s="23" t="str">
        <x:v>NY</x:v>
      </x:c>
      <x:c r="I47" s="23" t="str">
        <x:v>M2</x:v>
      </x:c>
      <x:c r="J47" s="17" t="str">
        <x:v>Spec §1.6.2 + §2.2.1/2.2.4; programmed baud = 100MHz/(54×16). EPS immaterial if PEN=0.</x:v>
      </x:c>
    </x:row>
    <x:row r="48" ht="170" customHeight="1">
      <x:c r="A48" s="22" t="str">
        <x:v>4.02</x:v>
      </x:c>
      <x:c r="B48" s="17" t="str">
        <x:v>TX 5N1 / 13×</x:v>
      </x:c>
      <x:c r="C48" s="17" t="str">
        <x:v>Objective: Verify TX frame with 5-bit none parity, 1 stop bit(s) and 13× sampling.
Setup: Reset; HCLK=100MHz; MDR=0x01, DLL=0x43, DLH=0; LCR=0x20; baud ≈114810.6 bps.
Stimulus: AHB write TBR=0x15 (from 0x55); UART VIP monitors uart_txd.
Expected: Start=0, 5 LSB-first bits (0x15), NONE parity (omitted), 1 stop bit(s)=1.
Checker / PASS: AHB write completes; UART monitor checks decoded value, parity, stop count and bit period; TX scoreboard compares exactly one expected vs observed frame.
Coverage: TX × WLS5 × NONE × STB1 × OSM13.</x:v>
      </x:c>
      <x:c r="D48" s="17" t="str">
        <x:v>uart_tx_w5_none_s1_osm13_test</x:v>
      </x:c>
      <x:c r="E48" s="17" t="str">
        <x:v>Medium</x:v>
      </x:c>
      <x:c r="F48" s="17" t="str">
        <x:v>Directed</x:v>
      </x:c>
      <x:c r="G48" s="17"/>
      <x:c r="H48" s="23" t="str">
        <x:v>NY</x:v>
      </x:c>
      <x:c r="I48" s="23" t="str">
        <x:v>M2</x:v>
      </x:c>
      <x:c r="J48" s="17" t="str">
        <x:v>Spec §1.6.2 + §2.2.1/2.2.4; programmed baud = 100MHz/(67×13). EPS immaterial if PEN=0.</x:v>
      </x:c>
    </x:row>
    <x:row r="49" ht="170" customHeight="1">
      <x:c r="A49" s="22" t="str">
        <x:v>4.03</x:v>
      </x:c>
      <x:c r="B49" s="17" t="str">
        <x:v>TX 5N2 / 16×</x:v>
      </x:c>
      <x:c r="C49" s="17" t="str">
        <x:v>Objective: Verify TX frame with 5-bit none parity, 2 stop bit(s) and 16× sampling.
Setup: Reset; HCLK=100MHz; MDR=0x00, DLL=0x36, DLH=0; LCR=0x24; baud ≈115740.7 bps.
Stimulus: AHB write TBR=0x15 (from 0x55); UART VIP monitors uart_txd.
Expected: Start=0, 5 LSB-first bits (0x15), NONE parity (omitted), 2 stop bit(s)=1.
Checker / PASS: AHB write completes; UART monitor checks decoded value, parity, stop count and bit period; TX scoreboard compares exactly one expected vs observed frame.
Coverage: TX × WLS5 × NONE × STB2 × OSM16.</x:v>
      </x:c>
      <x:c r="D49" s="17" t="str">
        <x:v>uart_tx_w5_none_s2_osm16_test</x:v>
      </x:c>
      <x:c r="E49" s="17" t="str">
        <x:v>Medium</x:v>
      </x:c>
      <x:c r="F49" s="17" t="str">
        <x:v>Directed</x:v>
      </x:c>
      <x:c r="G49" s="17"/>
      <x:c r="H49" s="23" t="str">
        <x:v>NY</x:v>
      </x:c>
      <x:c r="I49" s="23" t="str">
        <x:v>M2</x:v>
      </x:c>
      <x:c r="J49" s="17" t="str">
        <x:v>Spec §1.6.2 + §2.2.1/2.2.4; programmed baud = 100MHz/(54×16). EPS immaterial if PEN=0.</x:v>
      </x:c>
    </x:row>
    <x:row r="50" ht="170" customHeight="1">
      <x:c r="A50" s="22" t="str">
        <x:v>4.04</x:v>
      </x:c>
      <x:c r="B50" s="17" t="str">
        <x:v>TX 5N2 / 13×</x:v>
      </x:c>
      <x:c r="C50" s="17" t="str">
        <x:v>Objective: Verify TX frame with 5-bit none parity, 2 stop bit(s) and 13× sampling.
Setup: Reset; HCLK=100MHz; MDR=0x01, DLL=0x43, DLH=0; LCR=0x24; baud ≈114810.6 bps.
Stimulus: AHB write TBR=0x15 (from 0x55); UART VIP monitors uart_txd.
Expected: Start=0, 5 LSB-first bits (0x15), NONE parity (omitted), 2 stop bit(s)=1.
Checker / PASS: AHB write completes; UART monitor checks decoded value, parity, stop count and bit period; TX scoreboard compares exactly one expected vs observed frame.
Coverage: TX × WLS5 × NONE × STB2 × OSM13.</x:v>
      </x:c>
      <x:c r="D50" s="17" t="str">
        <x:v>uart_tx_w5_none_s2_osm13_test</x:v>
      </x:c>
      <x:c r="E50" s="17" t="str">
        <x:v>Medium</x:v>
      </x:c>
      <x:c r="F50" s="17" t="str">
        <x:v>Directed</x:v>
      </x:c>
      <x:c r="G50" s="17"/>
      <x:c r="H50" s="23" t="str">
        <x:v>NY</x:v>
      </x:c>
      <x:c r="I50" s="23" t="str">
        <x:v>M2</x:v>
      </x:c>
      <x:c r="J50" s="17" t="str">
        <x:v>Spec §1.6.2 + §2.2.1/2.2.4; programmed baud = 100MHz/(67×13). EPS immaterial if PEN=0.</x:v>
      </x:c>
    </x:row>
    <x:row r="51" ht="170" customHeight="1">
      <x:c r="A51" s="22" t="str">
        <x:v>4.05</x:v>
      </x:c>
      <x:c r="B51" s="17" t="str">
        <x:v>TX 5E1 / 16×</x:v>
      </x:c>
      <x:c r="C51" s="17" t="str">
        <x:v>Objective: Verify TX frame with 5-bit even parity, 1 stop bit(s) and 16× sampling.
Setup: Reset; HCLK=100MHz; MDR=0x00, DLL=0x36, DLH=0; LCR=0x38; baud ≈115740.7 bps.
Stimulus: AHB write TBR=0x15 (from 0x55); UART VIP monitors uart_txd.
Expected: Start=0, 5 LSB-first bits (0x15), EVEN parity (one bit), 1 stop bit(s)=1.
Checker / PASS: AHB write completes; UART monitor checks decoded value, parity, stop count and bit period; TX scoreboard compares exactly one expected vs observed frame.
Coverage: TX × WLS5 × EVEN × STB1 × OSM16.</x:v>
      </x:c>
      <x:c r="D51" s="17" t="str">
        <x:v>uart_tx_w5_even_s1_osm16_test</x:v>
      </x:c>
      <x:c r="E51" s="17" t="str">
        <x:v>Medium</x:v>
      </x:c>
      <x:c r="F51" s="17" t="str">
        <x:v>Directed</x:v>
      </x:c>
      <x:c r="G51" s="17"/>
      <x:c r="H51" s="23" t="str">
        <x:v>NY</x:v>
      </x:c>
      <x:c r="I51" s="23" t="str">
        <x:v>M2</x:v>
      </x:c>
      <x:c r="J51" s="17" t="str">
        <x:v>Spec §1.6.2 + §2.2.1/2.2.4; programmed baud = 100MHz/(54×16). EPS immaterial if PEN=0.</x:v>
      </x:c>
    </x:row>
    <x:row r="52" ht="170" customHeight="1">
      <x:c r="A52" s="22" t="str">
        <x:v>4.06</x:v>
      </x:c>
      <x:c r="B52" s="17" t="str">
        <x:v>TX 5E1 / 13×</x:v>
      </x:c>
      <x:c r="C52" s="17" t="str">
        <x:v>Objective: Verify TX frame with 5-bit even parity, 1 stop bit(s) and 13× sampling.
Setup: Reset; HCLK=100MHz; MDR=0x01, DLL=0x43, DLH=0; LCR=0x38; baud ≈114810.6 bps.
Stimulus: AHB write TBR=0x15 (from 0x55); UART VIP monitors uart_txd.
Expected: Start=0, 5 LSB-first bits (0x15), EVEN parity (one bit), 1 stop bit(s)=1.
Checker / PASS: AHB write completes; UART monitor checks decoded value, parity, stop count and bit period; TX scoreboard compares exactly one expected vs observed frame.
Coverage: TX × WLS5 × EVEN × STB1 × OSM13.</x:v>
      </x:c>
      <x:c r="D52" s="17" t="str">
        <x:v>uart_tx_w5_even_s1_osm13_test</x:v>
      </x:c>
      <x:c r="E52" s="17" t="str">
        <x:v>Medium</x:v>
      </x:c>
      <x:c r="F52" s="17" t="str">
        <x:v>Directed</x:v>
      </x:c>
      <x:c r="G52" s="17"/>
      <x:c r="H52" s="23" t="str">
        <x:v>NY</x:v>
      </x:c>
      <x:c r="I52" s="23" t="str">
        <x:v>M2</x:v>
      </x:c>
      <x:c r="J52" s="17" t="str">
        <x:v>Spec §1.6.2 + §2.2.1/2.2.4; programmed baud = 100MHz/(67×13). EPS immaterial if PEN=0.</x:v>
      </x:c>
    </x:row>
    <x:row r="53" ht="170" customHeight="1">
      <x:c r="A53" s="22" t="str">
        <x:v>4.07</x:v>
      </x:c>
      <x:c r="B53" s="17" t="str">
        <x:v>TX 5E2 / 16×</x:v>
      </x:c>
      <x:c r="C53" s="17" t="str">
        <x:v>Objective: Verify TX frame with 5-bit even parity, 2 stop bit(s) and 16× sampling.
Setup: Reset; HCLK=100MHz; MDR=0x00, DLL=0x36, DLH=0; LCR=0x3C; baud ≈115740.7 bps.
Stimulus: AHB write TBR=0x15 (from 0x55); UART VIP monitors uart_txd.
Expected: Start=0, 5 LSB-first bits (0x15), EVEN parity (one bit), 2 stop bit(s)=1.
Checker / PASS: AHB write completes; UART monitor checks decoded value, parity, stop count and bit period; TX scoreboard compares exactly one expected vs observed frame.
Coverage: TX × WLS5 × EVEN × STB2 × OSM16.</x:v>
      </x:c>
      <x:c r="D53" s="17" t="str">
        <x:v>uart_tx_w5_even_s2_osm16_test</x:v>
      </x:c>
      <x:c r="E53" s="17" t="str">
        <x:v>Medium</x:v>
      </x:c>
      <x:c r="F53" s="17" t="str">
        <x:v>Directed</x:v>
      </x:c>
      <x:c r="G53" s="17"/>
      <x:c r="H53" s="23" t="str">
        <x:v>NY</x:v>
      </x:c>
      <x:c r="I53" s="23" t="str">
        <x:v>M2</x:v>
      </x:c>
      <x:c r="J53" s="17" t="str">
        <x:v>Spec §1.6.2 + §2.2.1/2.2.4; programmed baud = 100MHz/(54×16). EPS immaterial if PEN=0.</x:v>
      </x:c>
    </x:row>
    <x:row r="54" ht="170" customHeight="1">
      <x:c r="A54" s="22" t="str">
        <x:v>4.08</x:v>
      </x:c>
      <x:c r="B54" s="17" t="str">
        <x:v>TX 5E2 / 13×</x:v>
      </x:c>
      <x:c r="C54" s="17" t="str">
        <x:v>Objective: Verify TX frame with 5-bit even parity, 2 stop bit(s) and 13× sampling.
Setup: Reset; HCLK=100MHz; MDR=0x01, DLL=0x43, DLH=0; LCR=0x3C; baud ≈114810.6 bps.
Stimulus: AHB write TBR=0x15 (from 0x55); UART VIP monitors uart_txd.
Expected: Start=0, 5 LSB-first bits (0x15), EVEN parity (one bit), 2 stop bit(s)=1.
Checker / PASS: AHB write completes; UART monitor checks decoded value, parity, stop count and bit period; TX scoreboard compares exactly one expected vs observed frame.
Coverage: TX × WLS5 × EVEN × STB2 × OSM13.</x:v>
      </x:c>
      <x:c r="D54" s="17" t="str">
        <x:v>uart_tx_w5_even_s2_osm13_test</x:v>
      </x:c>
      <x:c r="E54" s="17" t="str">
        <x:v>Medium</x:v>
      </x:c>
      <x:c r="F54" s="17" t="str">
        <x:v>Directed</x:v>
      </x:c>
      <x:c r="G54" s="17"/>
      <x:c r="H54" s="23" t="str">
        <x:v>NY</x:v>
      </x:c>
      <x:c r="I54" s="23" t="str">
        <x:v>M2</x:v>
      </x:c>
      <x:c r="J54" s="17" t="str">
        <x:v>Spec §1.6.2 + §2.2.1/2.2.4; programmed baud = 100MHz/(67×13). EPS immaterial if PEN=0.</x:v>
      </x:c>
    </x:row>
    <x:row r="55" ht="170" customHeight="1">
      <x:c r="A55" s="22" t="str">
        <x:v>4.09</x:v>
      </x:c>
      <x:c r="B55" s="17" t="str">
        <x:v>TX 5O1 / 16×</x:v>
      </x:c>
      <x:c r="C55" s="17" t="str">
        <x:v>Objective: Verify TX frame with 5-bit odd parity, 1 stop bit(s) and 16× sampling.
Setup: Reset; HCLK=100MHz; MDR=0x00, DLL=0x36, DLH=0; LCR=0x28; baud ≈115740.7 bps.
Stimulus: AHB write TBR=0x15 (from 0x55); UART VIP monitors uart_txd.
Expected: Start=0, 5 LSB-first bits (0x15), ODD parity (one bit), 1 stop bit(s)=1.
Checker / PASS: AHB write completes; UART monitor checks decoded value, parity, stop count and bit period; TX scoreboard compares exactly one expected vs observed frame.
Coverage: TX × WLS5 × ODD × STB1 × OSM16.</x:v>
      </x:c>
      <x:c r="D55" s="17" t="str">
        <x:v>uart_tx_w5_odd_s1_osm16_test</x:v>
      </x:c>
      <x:c r="E55" s="17" t="str">
        <x:v>Medium</x:v>
      </x:c>
      <x:c r="F55" s="17" t="str">
        <x:v>Directed</x:v>
      </x:c>
      <x:c r="G55" s="17"/>
      <x:c r="H55" s="23" t="str">
        <x:v>NY</x:v>
      </x:c>
      <x:c r="I55" s="23" t="str">
        <x:v>M2</x:v>
      </x:c>
      <x:c r="J55" s="17" t="str">
        <x:v>Spec §1.6.2 + §2.2.1/2.2.4; programmed baud = 100MHz/(54×16). EPS immaterial if PEN=0.</x:v>
      </x:c>
    </x:row>
    <x:row r="56" ht="170" customHeight="1">
      <x:c r="A56" s="22" t="str">
        <x:v>4.10</x:v>
      </x:c>
      <x:c r="B56" s="17" t="str">
        <x:v>TX 5O1 / 13×</x:v>
      </x:c>
      <x:c r="C56" s="17" t="str">
        <x:v>Objective: Verify TX frame with 5-bit odd parity, 1 stop bit(s) and 13× sampling.
Setup: Reset; HCLK=100MHz; MDR=0x01, DLL=0x43, DLH=0; LCR=0x28; baud ≈114810.6 bps.
Stimulus: AHB write TBR=0x15 (from 0x55); UART VIP monitors uart_txd.
Expected: Start=0, 5 LSB-first bits (0x15), ODD parity (one bit), 1 stop bit(s)=1.
Checker / PASS: AHB write completes; UART monitor checks decoded value, parity, stop count and bit period; TX scoreboard compares exactly one expected vs observed frame.
Coverage: TX × WLS5 × ODD × STB1 × OSM13.</x:v>
      </x:c>
      <x:c r="D56" s="17" t="str">
        <x:v>uart_tx_w5_odd_s1_osm13_test</x:v>
      </x:c>
      <x:c r="E56" s="17" t="str">
        <x:v>Medium</x:v>
      </x:c>
      <x:c r="F56" s="17" t="str">
        <x:v>Directed</x:v>
      </x:c>
      <x:c r="G56" s="17"/>
      <x:c r="H56" s="23" t="str">
        <x:v>NY</x:v>
      </x:c>
      <x:c r="I56" s="23" t="str">
        <x:v>M2</x:v>
      </x:c>
      <x:c r="J56" s="17" t="str">
        <x:v>Spec §1.6.2 + §2.2.1/2.2.4; programmed baud = 100MHz/(67×13). EPS immaterial if PEN=0.</x:v>
      </x:c>
    </x:row>
    <x:row r="57" ht="170" customHeight="1">
      <x:c r="A57" s="22" t="str">
        <x:v>4.11</x:v>
      </x:c>
      <x:c r="B57" s="17" t="str">
        <x:v>TX 5O2 / 16×</x:v>
      </x:c>
      <x:c r="C57" s="17" t="str">
        <x:v>Objective: Verify TX frame with 5-bit odd parity, 2 stop bit(s) and 16× sampling.
Setup: Reset; HCLK=100MHz; MDR=0x00, DLL=0x36, DLH=0; LCR=0x2C; baud ≈115740.7 bps.
Stimulus: AHB write TBR=0x15 (from 0x55); UART VIP monitors uart_txd.
Expected: Start=0, 5 LSB-first bits (0x15), ODD parity (one bit), 2 stop bit(s)=1.
Checker / PASS: AHB write completes; UART monitor checks decoded value, parity, stop count and bit period; TX scoreboard compares exactly one expected vs observed frame.
Coverage: TX × WLS5 × ODD × STB2 × OSM16.</x:v>
      </x:c>
      <x:c r="D57" s="17" t="str">
        <x:v>uart_tx_w5_odd_s2_osm16_test</x:v>
      </x:c>
      <x:c r="E57" s="17" t="str">
        <x:v>Medium</x:v>
      </x:c>
      <x:c r="F57" s="17" t="str">
        <x:v>Directed</x:v>
      </x:c>
      <x:c r="G57" s="17"/>
      <x:c r="H57" s="23" t="str">
        <x:v>NY</x:v>
      </x:c>
      <x:c r="I57" s="23" t="str">
        <x:v>M2</x:v>
      </x:c>
      <x:c r="J57" s="17" t="str">
        <x:v>Spec §1.6.2 + §2.2.1/2.2.4; programmed baud = 100MHz/(54×16). EPS immaterial if PEN=0.</x:v>
      </x:c>
    </x:row>
    <x:row r="58" ht="170" customHeight="1">
      <x:c r="A58" s="22" t="str">
        <x:v>4.12</x:v>
      </x:c>
      <x:c r="B58" s="17" t="str">
        <x:v>TX 5O2 / 13×</x:v>
      </x:c>
      <x:c r="C58" s="17" t="str">
        <x:v>Objective: Verify TX frame with 5-bit odd parity, 2 stop bit(s) and 13× sampling.
Setup: Reset; HCLK=100MHz; MDR=0x01, DLL=0x43, DLH=0; LCR=0x2C; baud ≈114810.6 bps.
Stimulus: AHB write TBR=0x15 (from 0x55); UART VIP monitors uart_txd.
Expected: Start=0, 5 LSB-first bits (0x15), ODD parity (one bit), 2 stop bit(s)=1.
Checker / PASS: AHB write completes; UART monitor checks decoded value, parity, stop count and bit period; TX scoreboard compares exactly one expected vs observed frame.
Coverage: TX × WLS5 × ODD × STB2 × OSM13.</x:v>
      </x:c>
      <x:c r="D58" s="17" t="str">
        <x:v>uart_tx_w5_odd_s2_osm13_test</x:v>
      </x:c>
      <x:c r="E58" s="17" t="str">
        <x:v>Medium</x:v>
      </x:c>
      <x:c r="F58" s="17" t="str">
        <x:v>Directed</x:v>
      </x:c>
      <x:c r="G58" s="17"/>
      <x:c r="H58" s="23" t="str">
        <x:v>NY</x:v>
      </x:c>
      <x:c r="I58" s="23" t="str">
        <x:v>M2</x:v>
      </x:c>
      <x:c r="J58" s="17" t="str">
        <x:v>Spec §1.6.2 + §2.2.1/2.2.4; programmed baud = 100MHz/(67×13). EPS immaterial if PEN=0.</x:v>
      </x:c>
    </x:row>
    <x:row r="59" ht="170" customHeight="1">
      <x:c r="A59" s="22" t="str">
        <x:v>4.13</x:v>
      </x:c>
      <x:c r="B59" s="17" t="str">
        <x:v>TX 6N1 / 16×</x:v>
      </x:c>
      <x:c r="C59" s="17" t="str">
        <x:v>Objective: Verify TX frame with 6-bit none parity, 1 stop bit(s) and 16× sampling.
Setup: Reset; HCLK=100MHz; MDR=0x00, DLL=0x36, DLH=0; LCR=0x21; baud ≈115740.7 bps.
Stimulus: AHB write TBR=0x15 (from 0x55); UART VIP monitors uart_txd.
Expected: Start=0, 6 LSB-first bits (0x15), NONE parity (omitted), 1 stop bit(s)=1.
Checker / PASS: AHB write completes; UART monitor checks decoded value, parity, stop count and bit period; TX scoreboard compares exactly one expected vs observed frame.
Coverage: TX × WLS6 × NONE × STB1 × OSM16.</x:v>
      </x:c>
      <x:c r="D59" s="17" t="str">
        <x:v>uart_tx_w6_none_s1_osm16_test</x:v>
      </x:c>
      <x:c r="E59" s="17" t="str">
        <x:v>Medium</x:v>
      </x:c>
      <x:c r="F59" s="17" t="str">
        <x:v>Directed</x:v>
      </x:c>
      <x:c r="G59" s="17"/>
      <x:c r="H59" s="23" t="str">
        <x:v>NY</x:v>
      </x:c>
      <x:c r="I59" s="23" t="str">
        <x:v>M2</x:v>
      </x:c>
      <x:c r="J59" s="17" t="str">
        <x:v>Spec §1.6.2 + §2.2.1/2.2.4; programmed baud = 100MHz/(54×16). EPS immaterial if PEN=0.</x:v>
      </x:c>
    </x:row>
    <x:row r="60" ht="170" customHeight="1">
      <x:c r="A60" s="22" t="str">
        <x:v>4.14</x:v>
      </x:c>
      <x:c r="B60" s="17" t="str">
        <x:v>TX 6N1 / 13×</x:v>
      </x:c>
      <x:c r="C60" s="17" t="str">
        <x:v>Objective: Verify TX frame with 6-bit none parity, 1 stop bit(s) and 13× sampling.
Setup: Reset; HCLK=100MHz; MDR=0x01, DLL=0x43, DLH=0; LCR=0x21; baud ≈114810.6 bps.
Stimulus: AHB write TBR=0x15 (from 0x55); UART VIP monitors uart_txd.
Expected: Start=0, 6 LSB-first bits (0x15), NONE parity (omitted), 1 stop bit(s)=1.
Checker / PASS: AHB write completes; UART monitor checks decoded value, parity, stop count and bit period; TX scoreboard compares exactly one expected vs observed frame.
Coverage: TX × WLS6 × NONE × STB1 × OSM13.</x:v>
      </x:c>
      <x:c r="D60" s="17" t="str">
        <x:v>uart_tx_w6_none_s1_osm13_test</x:v>
      </x:c>
      <x:c r="E60" s="17" t="str">
        <x:v>Medium</x:v>
      </x:c>
      <x:c r="F60" s="17" t="str">
        <x:v>Directed</x:v>
      </x:c>
      <x:c r="G60" s="17"/>
      <x:c r="H60" s="23" t="str">
        <x:v>NY</x:v>
      </x:c>
      <x:c r="I60" s="23" t="str">
        <x:v>M2</x:v>
      </x:c>
      <x:c r="J60" s="17" t="str">
        <x:v>Spec §1.6.2 + §2.2.1/2.2.4; programmed baud = 100MHz/(67×13). EPS immaterial if PEN=0.</x:v>
      </x:c>
    </x:row>
    <x:row r="61" ht="170" customHeight="1">
      <x:c r="A61" s="22" t="str">
        <x:v>4.15</x:v>
      </x:c>
      <x:c r="B61" s="17" t="str">
        <x:v>TX 6N2 / 16×</x:v>
      </x:c>
      <x:c r="C61" s="17" t="str">
        <x:v>Objective: Verify TX frame with 6-bit none parity, 2 stop bit(s) and 16× sampling.
Setup: Reset; HCLK=100MHz; MDR=0x00, DLL=0x36, DLH=0; LCR=0x25; baud ≈115740.7 bps.
Stimulus: AHB write TBR=0x15 (from 0x55); UART VIP monitors uart_txd.
Expected: Start=0, 6 LSB-first bits (0x15), NONE parity (omitted), 2 stop bit(s)=1.
Checker / PASS: AHB write completes; UART monitor checks decoded value, parity, stop count and bit period; TX scoreboard compares exactly one expected vs observed frame.
Coverage: TX × WLS6 × NONE × STB2 × OSM16.</x:v>
      </x:c>
      <x:c r="D61" s="17" t="str">
        <x:v>uart_tx_w6_none_s2_osm16_test</x:v>
      </x:c>
      <x:c r="E61" s="17" t="str">
        <x:v>Medium</x:v>
      </x:c>
      <x:c r="F61" s="17" t="str">
        <x:v>Directed</x:v>
      </x:c>
      <x:c r="G61" s="17"/>
      <x:c r="H61" s="23" t="str">
        <x:v>NY</x:v>
      </x:c>
      <x:c r="I61" s="23" t="str">
        <x:v>M2</x:v>
      </x:c>
      <x:c r="J61" s="17" t="str">
        <x:v>Spec §1.6.2 + §2.2.1/2.2.4; programmed baud = 100MHz/(54×16). EPS immaterial if PEN=0.</x:v>
      </x:c>
    </x:row>
    <x:row r="62" ht="170" customHeight="1">
      <x:c r="A62" s="22" t="str">
        <x:v>4.16</x:v>
      </x:c>
      <x:c r="B62" s="17" t="str">
        <x:v>TX 6N2 / 13×</x:v>
      </x:c>
      <x:c r="C62" s="17" t="str">
        <x:v>Objective: Verify TX frame with 6-bit none parity, 2 stop bit(s) and 13× sampling.
Setup: Reset; HCLK=100MHz; MDR=0x01, DLL=0x43, DLH=0; LCR=0x25; baud ≈114810.6 bps.
Stimulus: AHB write TBR=0x15 (from 0x55); UART VIP monitors uart_txd.
Expected: Start=0, 6 LSB-first bits (0x15), NONE parity (omitted), 2 stop bit(s)=1.
Checker / PASS: AHB write completes; UART monitor checks decoded value, parity, stop count and bit period; TX scoreboard compares exactly one expected vs observed frame.
Coverage: TX × WLS6 × NONE × STB2 × OSM13.</x:v>
      </x:c>
      <x:c r="D62" s="17" t="str">
        <x:v>uart_tx_w6_none_s2_osm13_test</x:v>
      </x:c>
      <x:c r="E62" s="17" t="str">
        <x:v>Medium</x:v>
      </x:c>
      <x:c r="F62" s="17" t="str">
        <x:v>Directed</x:v>
      </x:c>
      <x:c r="G62" s="17"/>
      <x:c r="H62" s="23" t="str">
        <x:v>NY</x:v>
      </x:c>
      <x:c r="I62" s="23" t="str">
        <x:v>M2</x:v>
      </x:c>
      <x:c r="J62" s="17" t="str">
        <x:v>Spec §1.6.2 + §2.2.1/2.2.4; programmed baud = 100MHz/(67×13). EPS immaterial if PEN=0.</x:v>
      </x:c>
    </x:row>
    <x:row r="63" ht="170" customHeight="1">
      <x:c r="A63" s="22" t="str">
        <x:v>4.17</x:v>
      </x:c>
      <x:c r="B63" s="17" t="str">
        <x:v>TX 6E1 / 16×</x:v>
      </x:c>
      <x:c r="C63" s="17" t="str">
        <x:v>Objective: Verify TX frame with 6-bit even parity, 1 stop bit(s) and 16× sampling.
Setup: Reset; HCLK=100MHz; MDR=0x00, DLL=0x36, DLH=0; LCR=0x39; baud ≈115740.7 bps.
Stimulus: AHB write TBR=0x15 (from 0x55); UART VIP monitors uart_txd.
Expected: Start=0, 6 LSB-first bits (0x15), EVEN parity (one bit), 1 stop bit(s)=1.
Checker / PASS: AHB write completes; UART monitor checks decoded value, parity, stop count and bit period; TX scoreboard compares exactly one expected vs observed frame.
Coverage: TX × WLS6 × EVEN × STB1 × OSM16.</x:v>
      </x:c>
      <x:c r="D63" s="17" t="str">
        <x:v>uart_tx_w6_even_s1_osm16_test</x:v>
      </x:c>
      <x:c r="E63" s="17" t="str">
        <x:v>Medium</x:v>
      </x:c>
      <x:c r="F63" s="17" t="str">
        <x:v>Directed</x:v>
      </x:c>
      <x:c r="G63" s="17"/>
      <x:c r="H63" s="23" t="str">
        <x:v>NY</x:v>
      </x:c>
      <x:c r="I63" s="23" t="str">
        <x:v>M2</x:v>
      </x:c>
      <x:c r="J63" s="17" t="str">
        <x:v>Spec §1.6.2 + §2.2.1/2.2.4; programmed baud = 100MHz/(54×16). EPS immaterial if PEN=0.</x:v>
      </x:c>
    </x:row>
    <x:row r="64" ht="170" customHeight="1">
      <x:c r="A64" s="22" t="str">
        <x:v>4.18</x:v>
      </x:c>
      <x:c r="B64" s="17" t="str">
        <x:v>TX 6E1 / 13×</x:v>
      </x:c>
      <x:c r="C64" s="17" t="str">
        <x:v>Objective: Verify TX frame with 6-bit even parity, 1 stop bit(s) and 13× sampling.
Setup: Reset; HCLK=100MHz; MDR=0x01, DLL=0x43, DLH=0; LCR=0x39; baud ≈114810.6 bps.
Stimulus: AHB write TBR=0x15 (from 0x55); UART VIP monitors uart_txd.
Expected: Start=0, 6 LSB-first bits (0x15), EVEN parity (one bit), 1 stop bit(s)=1.
Checker / PASS: AHB write completes; UART monitor checks decoded value, parity, stop count and bit period; TX scoreboard compares exactly one expected vs observed frame.
Coverage: TX × WLS6 × EVEN × STB1 × OSM13.</x:v>
      </x:c>
      <x:c r="D64" s="17" t="str">
        <x:v>uart_tx_w6_even_s1_osm13_test</x:v>
      </x:c>
      <x:c r="E64" s="17" t="str">
        <x:v>Medium</x:v>
      </x:c>
      <x:c r="F64" s="17" t="str">
        <x:v>Directed</x:v>
      </x:c>
      <x:c r="G64" s="17"/>
      <x:c r="H64" s="23" t="str">
        <x:v>NY</x:v>
      </x:c>
      <x:c r="I64" s="23" t="str">
        <x:v>M2</x:v>
      </x:c>
      <x:c r="J64" s="17" t="str">
        <x:v>Spec §1.6.2 + §2.2.1/2.2.4; programmed baud = 100MHz/(67×13). EPS immaterial if PEN=0.</x:v>
      </x:c>
    </x:row>
    <x:row r="65" ht="170" customHeight="1">
      <x:c r="A65" s="22" t="str">
        <x:v>4.19</x:v>
      </x:c>
      <x:c r="B65" s="17" t="str">
        <x:v>TX 6E2 / 16×</x:v>
      </x:c>
      <x:c r="C65" s="17" t="str">
        <x:v>Objective: Verify TX frame with 6-bit even parity, 2 stop bit(s) and 16× sampling.
Setup: Reset; HCLK=100MHz; MDR=0x00, DLL=0x36, DLH=0; LCR=0x3D; baud ≈115740.7 bps.
Stimulus: AHB write TBR=0x15 (from 0x55); UART VIP monitors uart_txd.
Expected: Start=0, 6 LSB-first bits (0x15), EVEN parity (one bit), 2 stop bit(s)=1.
Checker / PASS: AHB write completes; UART monitor checks decoded value, parity, stop count and bit period; TX scoreboard compares exactly one expected vs observed frame.
Coverage: TX × WLS6 × EVEN × STB2 × OSM16.</x:v>
      </x:c>
      <x:c r="D65" s="17" t="str">
        <x:v>uart_tx_w6_even_s2_osm16_test</x:v>
      </x:c>
      <x:c r="E65" s="17" t="str">
        <x:v>Medium</x:v>
      </x:c>
      <x:c r="F65" s="17" t="str">
        <x:v>Directed</x:v>
      </x:c>
      <x:c r="G65" s="17"/>
      <x:c r="H65" s="23" t="str">
        <x:v>NY</x:v>
      </x:c>
      <x:c r="I65" s="23" t="str">
        <x:v>M2</x:v>
      </x:c>
      <x:c r="J65" s="17" t="str">
        <x:v>Spec §1.6.2 + §2.2.1/2.2.4; programmed baud = 100MHz/(54×16). EPS immaterial if PEN=0.</x:v>
      </x:c>
    </x:row>
    <x:row r="66" ht="170" customHeight="1">
      <x:c r="A66" s="22" t="str">
        <x:v>4.20</x:v>
      </x:c>
      <x:c r="B66" s="17" t="str">
        <x:v>TX 6E2 / 13×</x:v>
      </x:c>
      <x:c r="C66" s="17" t="str">
        <x:v>Objective: Verify TX frame with 6-bit even parity, 2 stop bit(s) and 13× sampling.
Setup: Reset; HCLK=100MHz; MDR=0x01, DLL=0x43, DLH=0; LCR=0x3D; baud ≈114810.6 bps.
Stimulus: AHB write TBR=0x15 (from 0x55); UART VIP monitors uart_txd.
Expected: Start=0, 6 LSB-first bits (0x15), EVEN parity (one bit), 2 stop bit(s)=1.
Checker / PASS: AHB write completes; UART monitor checks decoded value, parity, stop count and bit period; TX scoreboard compares exactly one expected vs observed frame.
Coverage: TX × WLS6 × EVEN × STB2 × OSM13.</x:v>
      </x:c>
      <x:c r="D66" s="17" t="str">
        <x:v>uart_tx_w6_even_s2_osm13_test</x:v>
      </x:c>
      <x:c r="E66" s="17" t="str">
        <x:v>Medium</x:v>
      </x:c>
      <x:c r="F66" s="17" t="str">
        <x:v>Directed</x:v>
      </x:c>
      <x:c r="G66" s="17"/>
      <x:c r="H66" s="23" t="str">
        <x:v>NY</x:v>
      </x:c>
      <x:c r="I66" s="23" t="str">
        <x:v>M2</x:v>
      </x:c>
      <x:c r="J66" s="17" t="str">
        <x:v>Spec §1.6.2 + §2.2.1/2.2.4; programmed baud = 100MHz/(67×13). EPS immaterial if PEN=0.</x:v>
      </x:c>
    </x:row>
    <x:row r="67" ht="170" customHeight="1">
      <x:c r="A67" s="22" t="str">
        <x:v>4.21</x:v>
      </x:c>
      <x:c r="B67" s="17" t="str">
        <x:v>TX 6O1 / 16×</x:v>
      </x:c>
      <x:c r="C67" s="17" t="str">
        <x:v>Objective: Verify TX frame with 6-bit odd parity, 1 stop bit(s) and 16× sampling.
Setup: Reset; HCLK=100MHz; MDR=0x00, DLL=0x36, DLH=0; LCR=0x29; baud ≈115740.7 bps.
Stimulus: AHB write TBR=0x15 (from 0x55); UART VIP monitors uart_txd.
Expected: Start=0, 6 LSB-first bits (0x15), ODD parity (one bit), 1 stop bit(s)=1.
Checker / PASS: AHB write completes; UART monitor checks decoded value, parity, stop count and bit period; TX scoreboard compares exactly one expected vs observed frame.
Coverage: TX × WLS6 × ODD × STB1 × OSM16.</x:v>
      </x:c>
      <x:c r="D67" s="17" t="str">
        <x:v>uart_tx_w6_odd_s1_osm16_test</x:v>
      </x:c>
      <x:c r="E67" s="17" t="str">
        <x:v>Medium</x:v>
      </x:c>
      <x:c r="F67" s="17" t="str">
        <x:v>Directed</x:v>
      </x:c>
      <x:c r="G67" s="17"/>
      <x:c r="H67" s="23" t="str">
        <x:v>NY</x:v>
      </x:c>
      <x:c r="I67" s="23" t="str">
        <x:v>M2</x:v>
      </x:c>
      <x:c r="J67" s="17" t="str">
        <x:v>Spec §1.6.2 + §2.2.1/2.2.4; programmed baud = 100MHz/(54×16). EPS immaterial if PEN=0.</x:v>
      </x:c>
    </x:row>
    <x:row r="68" ht="170" customHeight="1">
      <x:c r="A68" s="22" t="str">
        <x:v>4.22</x:v>
      </x:c>
      <x:c r="B68" s="17" t="str">
        <x:v>TX 6O1 / 13×</x:v>
      </x:c>
      <x:c r="C68" s="17" t="str">
        <x:v>Objective: Verify TX frame with 6-bit odd parity, 1 stop bit(s) and 13× sampling.
Setup: Reset; HCLK=100MHz; MDR=0x01, DLL=0x43, DLH=0; LCR=0x29; baud ≈114810.6 bps.
Stimulus: AHB write TBR=0x15 (from 0x55); UART VIP monitors uart_txd.
Expected: Start=0, 6 LSB-first bits (0x15), ODD parity (one bit), 1 stop bit(s)=1.
Checker / PASS: AHB write completes; UART monitor checks decoded value, parity, stop count and bit period; TX scoreboard compares exactly one expected vs observed frame.
Coverage: TX × WLS6 × ODD × STB1 × OSM13.</x:v>
      </x:c>
      <x:c r="D68" s="17" t="str">
        <x:v>uart_tx_w6_odd_s1_osm13_test</x:v>
      </x:c>
      <x:c r="E68" s="17" t="str">
        <x:v>Medium</x:v>
      </x:c>
      <x:c r="F68" s="17" t="str">
        <x:v>Directed</x:v>
      </x:c>
      <x:c r="G68" s="17"/>
      <x:c r="H68" s="23" t="str">
        <x:v>NY</x:v>
      </x:c>
      <x:c r="I68" s="23" t="str">
        <x:v>M2</x:v>
      </x:c>
      <x:c r="J68" s="17" t="str">
        <x:v>Spec §1.6.2 + §2.2.1/2.2.4; programmed baud = 100MHz/(67×13). EPS immaterial if PEN=0.</x:v>
      </x:c>
    </x:row>
    <x:row r="69" ht="170" customHeight="1">
      <x:c r="A69" s="22" t="str">
        <x:v>4.23</x:v>
      </x:c>
      <x:c r="B69" s="17" t="str">
        <x:v>TX 6O2 / 16×</x:v>
      </x:c>
      <x:c r="C69" s="17" t="str">
        <x:v>Objective: Verify TX frame with 6-bit odd parity, 2 stop bit(s) and 16× sampling.
Setup: Reset; HCLK=100MHz; MDR=0x00, DLL=0x36, DLH=0; LCR=0x2D; baud ≈115740.7 bps.
Stimulus: AHB write TBR=0x15 (from 0x55); UART VIP monitors uart_txd.
Expected: Start=0, 6 LSB-first bits (0x15), ODD parity (one bit), 2 stop bit(s)=1.
Checker / PASS: AHB write completes; UART monitor checks decoded value, parity, stop count and bit period; TX scoreboard compares exactly one expected vs observed frame.
Coverage: TX × WLS6 × ODD × STB2 × OSM16.</x:v>
      </x:c>
      <x:c r="D69" s="17" t="str">
        <x:v>uart_tx_w6_odd_s2_osm16_test</x:v>
      </x:c>
      <x:c r="E69" s="17" t="str">
        <x:v>Medium</x:v>
      </x:c>
      <x:c r="F69" s="17" t="str">
        <x:v>Directed</x:v>
      </x:c>
      <x:c r="G69" s="17"/>
      <x:c r="H69" s="23" t="str">
        <x:v>NY</x:v>
      </x:c>
      <x:c r="I69" s="23" t="str">
        <x:v>M2</x:v>
      </x:c>
      <x:c r="J69" s="17" t="str">
        <x:v>Spec §1.6.2 + §2.2.1/2.2.4; programmed baud = 100MHz/(54×16). EPS immaterial if PEN=0.</x:v>
      </x:c>
    </x:row>
    <x:row r="70" ht="170" customHeight="1">
      <x:c r="A70" s="22" t="str">
        <x:v>4.24</x:v>
      </x:c>
      <x:c r="B70" s="17" t="str">
        <x:v>TX 6O2 / 13×</x:v>
      </x:c>
      <x:c r="C70" s="17" t="str">
        <x:v>Objective: Verify TX frame with 6-bit odd parity, 2 stop bit(s) and 13× sampling.
Setup: Reset; HCLK=100MHz; MDR=0x01, DLL=0x43, DLH=0; LCR=0x2D; baud ≈114810.6 bps.
Stimulus: AHB write TBR=0x15 (from 0x55); UART VIP monitors uart_txd.
Expected: Start=0, 6 LSB-first bits (0x15), ODD parity (one bit), 2 stop bit(s)=1.
Checker / PASS: AHB write completes; UART monitor checks decoded value, parity, stop count and bit period; TX scoreboard compares exactly one expected vs observed frame.
Coverage: TX × WLS6 × ODD × STB2 × OSM13.</x:v>
      </x:c>
      <x:c r="D70" s="17" t="str">
        <x:v>uart_tx_w6_odd_s2_osm13_test</x:v>
      </x:c>
      <x:c r="E70" s="17" t="str">
        <x:v>Medium</x:v>
      </x:c>
      <x:c r="F70" s="17" t="str">
        <x:v>Directed</x:v>
      </x:c>
      <x:c r="G70" s="17"/>
      <x:c r="H70" s="23" t="str">
        <x:v>NY</x:v>
      </x:c>
      <x:c r="I70" s="23" t="str">
        <x:v>M2</x:v>
      </x:c>
      <x:c r="J70" s="17" t="str">
        <x:v>Spec §1.6.2 + §2.2.1/2.2.4; programmed baud = 100MHz/(67×13). EPS immaterial if PEN=0.</x:v>
      </x:c>
    </x:row>
    <x:row r="71" ht="170" customHeight="1">
      <x:c r="A71" s="22" t="str">
        <x:v>4.25</x:v>
      </x:c>
      <x:c r="B71" s="17" t="str">
        <x:v>TX 7N1 / 16×</x:v>
      </x:c>
      <x:c r="C71" s="17" t="str">
        <x:v>Objective: Verify TX frame with 7-bit none parity, 1 stop bit(s) and 16× sampling.
Setup: Reset; HCLK=100MHz; MDR=0x00, DLL=0x36, DLH=0; LCR=0x22; baud ≈115740.7 bps.
Stimulus: AHB write TBR=0x55 (from 0x55); UART VIP monitors uart_txd.
Expected: Start=0, 7 LSB-first bits (0x55), NONE parity (omitted), 1 stop bit(s)=1.
Checker / PASS: AHB write completes; UART monitor checks decoded value, parity, stop count and bit period; TX scoreboard compares exactly one expected vs observed frame.
Coverage: TX × WLS7 × NONE × STB1 × OSM16.</x:v>
      </x:c>
      <x:c r="D71" s="17" t="str">
        <x:v>uart_tx_w7_none_s1_osm16_test</x:v>
      </x:c>
      <x:c r="E71" s="17" t="str">
        <x:v>Medium</x:v>
      </x:c>
      <x:c r="F71" s="17" t="str">
        <x:v>Directed</x:v>
      </x:c>
      <x:c r="G71" s="17"/>
      <x:c r="H71" s="23" t="str">
        <x:v>NY</x:v>
      </x:c>
      <x:c r="I71" s="23" t="str">
        <x:v>M2</x:v>
      </x:c>
      <x:c r="J71" s="17" t="str">
        <x:v>Spec §1.6.2 + §2.2.1/2.2.4; programmed baud = 100MHz/(54×16). EPS immaterial if PEN=0.</x:v>
      </x:c>
    </x:row>
    <x:row r="72" ht="170" customHeight="1">
      <x:c r="A72" s="22" t="str">
        <x:v>4.26</x:v>
      </x:c>
      <x:c r="B72" s="17" t="str">
        <x:v>TX 7N1 / 13×</x:v>
      </x:c>
      <x:c r="C72" s="17" t="str">
        <x:v>Objective: Verify TX frame with 7-bit none parity, 1 stop bit(s) and 13× sampling.
Setup: Reset; HCLK=100MHz; MDR=0x01, DLL=0x43, DLH=0; LCR=0x22; baud ≈114810.6 bps.
Stimulus: AHB write TBR=0x55 (from 0x55); UART VIP monitors uart_txd.
Expected: Start=0, 7 LSB-first bits (0x55), NONE parity (omitted), 1 stop bit(s)=1.
Checker / PASS: AHB write completes; UART monitor checks decoded value, parity, stop count and bit period; TX scoreboard compares exactly one expected vs observed frame.
Coverage: TX × WLS7 × NONE × STB1 × OSM13.</x:v>
      </x:c>
      <x:c r="D72" s="17" t="str">
        <x:v>uart_tx_w7_none_s1_osm13_test</x:v>
      </x:c>
      <x:c r="E72" s="17" t="str">
        <x:v>Medium</x:v>
      </x:c>
      <x:c r="F72" s="17" t="str">
        <x:v>Directed</x:v>
      </x:c>
      <x:c r="G72" s="17"/>
      <x:c r="H72" s="23" t="str">
        <x:v>NY</x:v>
      </x:c>
      <x:c r="I72" s="23" t="str">
        <x:v>M2</x:v>
      </x:c>
      <x:c r="J72" s="17" t="str">
        <x:v>Spec §1.6.2 + §2.2.1/2.2.4; programmed baud = 100MHz/(67×13). EPS immaterial if PEN=0.</x:v>
      </x:c>
    </x:row>
    <x:row r="73" ht="170" customHeight="1">
      <x:c r="A73" s="22" t="str">
        <x:v>4.27</x:v>
      </x:c>
      <x:c r="B73" s="17" t="str">
        <x:v>TX 7N2 / 16×</x:v>
      </x:c>
      <x:c r="C73" s="17" t="str">
        <x:v>Objective: Verify TX frame with 7-bit none parity, 2 stop bit(s) and 16× sampling.
Setup: Reset; HCLK=100MHz; MDR=0x00, DLL=0x36, DLH=0; LCR=0x26; baud ≈115740.7 bps.
Stimulus: AHB write TBR=0x55 (from 0x55); UART VIP monitors uart_txd.
Expected: Start=0, 7 LSB-first bits (0x55), NONE parity (omitted), 2 stop bit(s)=1.
Checker / PASS: AHB write completes; UART monitor checks decoded value, parity, stop count and bit period; TX scoreboard compares exactly one expected vs observed frame.
Coverage: TX × WLS7 × NONE × STB2 × OSM16.</x:v>
      </x:c>
      <x:c r="D73" s="17" t="str">
        <x:v>uart_tx_w7_none_s2_osm16_test</x:v>
      </x:c>
      <x:c r="E73" s="17" t="str">
        <x:v>Medium</x:v>
      </x:c>
      <x:c r="F73" s="17" t="str">
        <x:v>Directed</x:v>
      </x:c>
      <x:c r="G73" s="17"/>
      <x:c r="H73" s="23" t="str">
        <x:v>NY</x:v>
      </x:c>
      <x:c r="I73" s="23" t="str">
        <x:v>M2</x:v>
      </x:c>
      <x:c r="J73" s="17" t="str">
        <x:v>Spec §1.6.2 + §2.2.1/2.2.4; programmed baud = 100MHz/(54×16). EPS immaterial if PEN=0.</x:v>
      </x:c>
    </x:row>
    <x:row r="74" ht="170" customHeight="1">
      <x:c r="A74" s="22" t="str">
        <x:v>4.28</x:v>
      </x:c>
      <x:c r="B74" s="17" t="str">
        <x:v>TX 7N2 / 13×</x:v>
      </x:c>
      <x:c r="C74" s="17" t="str">
        <x:v>Objective: Verify TX frame with 7-bit none parity, 2 stop bit(s) and 13× sampling.
Setup: Reset; HCLK=100MHz; MDR=0x01, DLL=0x43, DLH=0; LCR=0x26; baud ≈114810.6 bps.
Stimulus: AHB write TBR=0x55 (from 0x55); UART VIP monitors uart_txd.
Expected: Start=0, 7 LSB-first bits (0x55), NONE parity (omitted), 2 stop bit(s)=1.
Checker / PASS: AHB write completes; UART monitor checks decoded value, parity, stop count and bit period; TX scoreboard compares exactly one expected vs observed frame.
Coverage: TX × WLS7 × NONE × STB2 × OSM13.</x:v>
      </x:c>
      <x:c r="D74" s="17" t="str">
        <x:v>uart_tx_w7_none_s2_osm13_test</x:v>
      </x:c>
      <x:c r="E74" s="17" t="str">
        <x:v>Medium</x:v>
      </x:c>
      <x:c r="F74" s="17" t="str">
        <x:v>Directed</x:v>
      </x:c>
      <x:c r="G74" s="17"/>
      <x:c r="H74" s="23" t="str">
        <x:v>NY</x:v>
      </x:c>
      <x:c r="I74" s="23" t="str">
        <x:v>M2</x:v>
      </x:c>
      <x:c r="J74" s="17" t="str">
        <x:v>Spec §1.6.2 + §2.2.1/2.2.4; programmed baud = 100MHz/(67×13). EPS immaterial if PEN=0.</x:v>
      </x:c>
    </x:row>
    <x:row r="75" ht="170" customHeight="1">
      <x:c r="A75" s="22" t="str">
        <x:v>4.29</x:v>
      </x:c>
      <x:c r="B75" s="17" t="str">
        <x:v>TX 7E1 / 16×</x:v>
      </x:c>
      <x:c r="C75" s="17" t="str">
        <x:v>Objective: Verify TX frame with 7-bit even parity, 1 stop bit(s) and 16× sampling.
Setup: Reset; HCLK=100MHz; MDR=0x00, DLL=0x36, DLH=0; LCR=0x3A; baud ≈115740.7 bps.
Stimulus: AHB write TBR=0x55 (from 0x55); UART VIP monitors uart_txd.
Expected: Start=0, 7 LSB-first bits (0x55), EVEN parity (one bit), 1 stop bit(s)=1.
Checker / PASS: AHB write completes; UART monitor checks decoded value, parity, stop count and bit period; TX scoreboard compares exactly one expected vs observed frame.
Coverage: TX × WLS7 × EVEN × STB1 × OSM16.</x:v>
      </x:c>
      <x:c r="D75" s="17" t="str">
        <x:v>uart_tx_w7_even_s1_osm16_test</x:v>
      </x:c>
      <x:c r="E75" s="17" t="str">
        <x:v>Medium</x:v>
      </x:c>
      <x:c r="F75" s="17" t="str">
        <x:v>Directed</x:v>
      </x:c>
      <x:c r="G75" s="17"/>
      <x:c r="H75" s="23" t="str">
        <x:v>NY</x:v>
      </x:c>
      <x:c r="I75" s="23" t="str">
        <x:v>M2</x:v>
      </x:c>
      <x:c r="J75" s="17" t="str">
        <x:v>Spec §1.6.2 + §2.2.1/2.2.4; programmed baud = 100MHz/(54×16). EPS immaterial if PEN=0.</x:v>
      </x:c>
    </x:row>
    <x:row r="76" ht="170" customHeight="1">
      <x:c r="A76" s="22" t="str">
        <x:v>4.30</x:v>
      </x:c>
      <x:c r="B76" s="17" t="str">
        <x:v>TX 7E1 / 13×</x:v>
      </x:c>
      <x:c r="C76" s="17" t="str">
        <x:v>Objective: Verify TX frame with 7-bit even parity, 1 stop bit(s) and 13× sampling.
Setup: Reset; HCLK=100MHz; MDR=0x01, DLL=0x43, DLH=0; LCR=0x3A; baud ≈114810.6 bps.
Stimulus: AHB write TBR=0x55 (from 0x55); UART VIP monitors uart_txd.
Expected: Start=0, 7 LSB-first bits (0x55), EVEN parity (one bit), 1 stop bit(s)=1.
Checker / PASS: AHB write completes; UART monitor checks decoded value, parity, stop count and bit period; TX scoreboard compares exactly one expected vs observed frame.
Coverage: TX × WLS7 × EVEN × STB1 × OSM13.</x:v>
      </x:c>
      <x:c r="D76" s="17" t="str">
        <x:v>uart_tx_w7_even_s1_osm13_test</x:v>
      </x:c>
      <x:c r="E76" s="17" t="str">
        <x:v>Medium</x:v>
      </x:c>
      <x:c r="F76" s="17" t="str">
        <x:v>Directed</x:v>
      </x:c>
      <x:c r="G76" s="17"/>
      <x:c r="H76" s="23" t="str">
        <x:v>NY</x:v>
      </x:c>
      <x:c r="I76" s="23" t="str">
        <x:v>M2</x:v>
      </x:c>
      <x:c r="J76" s="17" t="str">
        <x:v>Spec §1.6.2 + §2.2.1/2.2.4; programmed baud = 100MHz/(67×13). EPS immaterial if PEN=0.</x:v>
      </x:c>
    </x:row>
    <x:row r="77" ht="170" customHeight="1">
      <x:c r="A77" s="22" t="str">
        <x:v>4.31</x:v>
      </x:c>
      <x:c r="B77" s="17" t="str">
        <x:v>TX 7E2 / 16×</x:v>
      </x:c>
      <x:c r="C77" s="17" t="str">
        <x:v>Objective: Verify TX frame with 7-bit even parity, 2 stop bit(s) and 16× sampling.
Setup: Reset; HCLK=100MHz; MDR=0x00, DLL=0x36, DLH=0; LCR=0x3E; baud ≈115740.7 bps.
Stimulus: AHB write TBR=0x55 (from 0x55); UART VIP monitors uart_txd.
Expected: Start=0, 7 LSB-first bits (0x55), EVEN parity (one bit), 2 stop bit(s)=1.
Checker / PASS: AHB write completes; UART monitor checks decoded value, parity, stop count and bit period; TX scoreboard compares exactly one expected vs observed frame.
Coverage: TX × WLS7 × EVEN × STB2 × OSM16.</x:v>
      </x:c>
      <x:c r="D77" s="17" t="str">
        <x:v>uart_tx_w7_even_s2_osm16_test</x:v>
      </x:c>
      <x:c r="E77" s="17" t="str">
        <x:v>Medium</x:v>
      </x:c>
      <x:c r="F77" s="17" t="str">
        <x:v>Directed</x:v>
      </x:c>
      <x:c r="G77" s="17"/>
      <x:c r="H77" s="23" t="str">
        <x:v>NY</x:v>
      </x:c>
      <x:c r="I77" s="23" t="str">
        <x:v>M2</x:v>
      </x:c>
      <x:c r="J77" s="17" t="str">
        <x:v>Spec §1.6.2 + §2.2.1/2.2.4; programmed baud = 100MHz/(54×16). EPS immaterial if PEN=0.</x:v>
      </x:c>
    </x:row>
    <x:row r="78" ht="170" customHeight="1">
      <x:c r="A78" s="22" t="str">
        <x:v>4.32</x:v>
      </x:c>
      <x:c r="B78" s="17" t="str">
        <x:v>TX 7E2 / 13×</x:v>
      </x:c>
      <x:c r="C78" s="17" t="str">
        <x:v>Objective: Verify TX frame with 7-bit even parity, 2 stop bit(s) and 13× sampling.
Setup: Reset; HCLK=100MHz; MDR=0x01, DLL=0x43, DLH=0; LCR=0x3E; baud ≈114810.6 bps.
Stimulus: AHB write TBR=0x55 (from 0x55); UART VIP monitors uart_txd.
Expected: Start=0, 7 LSB-first bits (0x55), EVEN parity (one bit), 2 stop bit(s)=1.
Checker / PASS: AHB write completes; UART monitor checks decoded value, parity, stop count and bit period; TX scoreboard compares exactly one expected vs observed frame.
Coverage: TX × WLS7 × EVEN × STB2 × OSM13.</x:v>
      </x:c>
      <x:c r="D78" s="17" t="str">
        <x:v>uart_tx_w7_even_s2_osm13_test</x:v>
      </x:c>
      <x:c r="E78" s="17" t="str">
        <x:v>Medium</x:v>
      </x:c>
      <x:c r="F78" s="17" t="str">
        <x:v>Directed</x:v>
      </x:c>
      <x:c r="G78" s="17"/>
      <x:c r="H78" s="23" t="str">
        <x:v>NY</x:v>
      </x:c>
      <x:c r="I78" s="23" t="str">
        <x:v>M2</x:v>
      </x:c>
      <x:c r="J78" s="17" t="str">
        <x:v>Spec §1.6.2 + §2.2.1/2.2.4; programmed baud = 100MHz/(67×13). EPS immaterial if PEN=0.</x:v>
      </x:c>
    </x:row>
    <x:row r="79" ht="170" customHeight="1">
      <x:c r="A79" s="22" t="str">
        <x:v>4.33</x:v>
      </x:c>
      <x:c r="B79" s="17" t="str">
        <x:v>TX 7O1 / 16×</x:v>
      </x:c>
      <x:c r="C79" s="17" t="str">
        <x:v>Objective: Verify TX frame with 7-bit odd parity, 1 stop bit(s) and 16× sampling.
Setup: Reset; HCLK=100MHz; MDR=0x00, DLL=0x36, DLH=0; LCR=0x2A; baud ≈115740.7 bps.
Stimulus: AHB write TBR=0x55 (from 0x55); UART VIP monitors uart_txd.
Expected: Start=0, 7 LSB-first bits (0x55), ODD parity (one bit), 1 stop bit(s)=1.
Checker / PASS: AHB write completes; UART monitor checks decoded value, parity, stop count and bit period; TX scoreboard compares exactly one expected vs observed frame.
Coverage: TX × WLS7 × ODD × STB1 × OSM16.</x:v>
      </x:c>
      <x:c r="D79" s="17" t="str">
        <x:v>uart_tx_w7_odd_s1_osm16_test</x:v>
      </x:c>
      <x:c r="E79" s="17" t="str">
        <x:v>Medium</x:v>
      </x:c>
      <x:c r="F79" s="17" t="str">
        <x:v>Directed</x:v>
      </x:c>
      <x:c r="G79" s="17"/>
      <x:c r="H79" s="23" t="str">
        <x:v>NY</x:v>
      </x:c>
      <x:c r="I79" s="23" t="str">
        <x:v>M2</x:v>
      </x:c>
      <x:c r="J79" s="17" t="str">
        <x:v>Spec §1.6.2 + §2.2.1/2.2.4; programmed baud = 100MHz/(54×16). EPS immaterial if PEN=0.</x:v>
      </x:c>
    </x:row>
    <x:row r="80" ht="170" customHeight="1">
      <x:c r="A80" s="22" t="str">
        <x:v>4.34</x:v>
      </x:c>
      <x:c r="B80" s="17" t="str">
        <x:v>TX 7O1 / 13×</x:v>
      </x:c>
      <x:c r="C80" s="17" t="str">
        <x:v>Objective: Verify TX frame with 7-bit odd parity, 1 stop bit(s) and 13× sampling.
Setup: Reset; HCLK=100MHz; MDR=0x01, DLL=0x43, DLH=0; LCR=0x2A; baud ≈114810.6 bps.
Stimulus: AHB write TBR=0x55 (from 0x55); UART VIP monitors uart_txd.
Expected: Start=0, 7 LSB-first bits (0x55), ODD parity (one bit), 1 stop bit(s)=1.
Checker / PASS: AHB write completes; UART monitor checks decoded value, parity, stop count and bit period; TX scoreboard compares exactly one expected vs observed frame.
Coverage: TX × WLS7 × ODD × STB1 × OSM13.</x:v>
      </x:c>
      <x:c r="D80" s="17" t="str">
        <x:v>uart_tx_w7_odd_s1_osm13_test</x:v>
      </x:c>
      <x:c r="E80" s="17" t="str">
        <x:v>Medium</x:v>
      </x:c>
      <x:c r="F80" s="17" t="str">
        <x:v>Directed</x:v>
      </x:c>
      <x:c r="G80" s="17"/>
      <x:c r="H80" s="23" t="str">
        <x:v>NY</x:v>
      </x:c>
      <x:c r="I80" s="23" t="str">
        <x:v>M2</x:v>
      </x:c>
      <x:c r="J80" s="17" t="str">
        <x:v>Spec §1.6.2 + §2.2.1/2.2.4; programmed baud = 100MHz/(67×13). EPS immaterial if PEN=0.</x:v>
      </x:c>
    </x:row>
    <x:row r="81" ht="170" customHeight="1">
      <x:c r="A81" s="22" t="str">
        <x:v>4.35</x:v>
      </x:c>
      <x:c r="B81" s="17" t="str">
        <x:v>TX 7O2 / 16×</x:v>
      </x:c>
      <x:c r="C81" s="17" t="str">
        <x:v>Objective: Verify TX frame with 7-bit odd parity, 2 stop bit(s) and 16× sampling.
Setup: Reset; HCLK=100MHz; MDR=0x00, DLL=0x36, DLH=0; LCR=0x2E; baud ≈115740.7 bps.
Stimulus: AHB write TBR=0x55 (from 0x55); UART VIP monitors uart_txd.
Expected: Start=0, 7 LSB-first bits (0x55), ODD parity (one bit), 2 stop bit(s)=1.
Checker / PASS: AHB write completes; UART monitor checks decoded value, parity, stop count and bit period; TX scoreboard compares exactly one expected vs observed frame.
Coverage: TX × WLS7 × ODD × STB2 × OSM16.</x:v>
      </x:c>
      <x:c r="D81" s="17" t="str">
        <x:v>uart_tx_w7_odd_s2_osm16_test</x:v>
      </x:c>
      <x:c r="E81" s="17" t="str">
        <x:v>Medium</x:v>
      </x:c>
      <x:c r="F81" s="17" t="str">
        <x:v>Directed</x:v>
      </x:c>
      <x:c r="G81" s="17"/>
      <x:c r="H81" s="23" t="str">
        <x:v>NY</x:v>
      </x:c>
      <x:c r="I81" s="23" t="str">
        <x:v>M2</x:v>
      </x:c>
      <x:c r="J81" s="17" t="str">
        <x:v>Spec §1.6.2 + §2.2.1/2.2.4; programmed baud = 100MHz/(54×16). EPS immaterial if PEN=0.</x:v>
      </x:c>
    </x:row>
    <x:row r="82" ht="170" customHeight="1">
      <x:c r="A82" s="22" t="str">
        <x:v>4.36</x:v>
      </x:c>
      <x:c r="B82" s="17" t="str">
        <x:v>TX 7O2 / 13×</x:v>
      </x:c>
      <x:c r="C82" s="17" t="str">
        <x:v>Objective: Verify TX frame with 7-bit odd parity, 2 stop bit(s) and 13× sampling.
Setup: Reset; HCLK=100MHz; MDR=0x01, DLL=0x43, DLH=0; LCR=0x2E; baud ≈114810.6 bps.
Stimulus: AHB write TBR=0x55 (from 0x55); UART VIP monitors uart_txd.
Expected: Start=0, 7 LSB-first bits (0x55), ODD parity (one bit), 2 stop bit(s)=1.
Checker / PASS: AHB write completes; UART monitor checks decoded value, parity, stop count and bit period; TX scoreboard compares exactly one expected vs observed frame.
Coverage: TX × WLS7 × ODD × STB2 × OSM13.</x:v>
      </x:c>
      <x:c r="D82" s="17" t="str">
        <x:v>uart_tx_w7_odd_s2_osm13_test</x:v>
      </x:c>
      <x:c r="E82" s="17" t="str">
        <x:v>Medium</x:v>
      </x:c>
      <x:c r="F82" s="17" t="str">
        <x:v>Directed</x:v>
      </x:c>
      <x:c r="G82" s="17"/>
      <x:c r="H82" s="23" t="str">
        <x:v>NY</x:v>
      </x:c>
      <x:c r="I82" s="23" t="str">
        <x:v>M2</x:v>
      </x:c>
      <x:c r="J82" s="17" t="str">
        <x:v>Spec §1.6.2 + §2.2.1/2.2.4; programmed baud = 100MHz/(67×13). EPS immaterial if PEN=0.</x:v>
      </x:c>
    </x:row>
    <x:row r="83" ht="170" customHeight="1">
      <x:c r="A83" s="22" t="str">
        <x:v>4.37</x:v>
      </x:c>
      <x:c r="B83" s="17" t="str">
        <x:v>TX 8N1 / 16×</x:v>
      </x:c>
      <x:c r="C83" s="17" t="str">
        <x:v>Objective: Verify TX frame with 8-bit none parity, 1 stop bit(s) and 16× sampling.
Setup: Reset; HCLK=100MHz; MDR=0x00, DLL=0x36, DLH=0; LCR=0x23; baud ≈115740.7 bps.
Stimulus: AHB write TBR=0x55 (from 0x55); UART VIP monitors uart_txd.
Expected: Start=0, 8 LSB-first bits (0x55), NONE parity (omitted), 1 stop bit(s)=1.
Checker / PASS: AHB write completes; UART monitor checks decoded value, parity, stop count and bit period; TX scoreboard compares exactly one expected vs observed frame.
Coverage: TX × WLS8 × NONE × STB1 × OSM16.</x:v>
      </x:c>
      <x:c r="D83" s="17" t="str">
        <x:v>uart_tx_w8_none_s1_osm16_test</x:v>
      </x:c>
      <x:c r="E83" s="17" t="str">
        <x:v>High</x:v>
      </x:c>
      <x:c r="F83" s="17" t="str">
        <x:v>Directed</x:v>
      </x:c>
      <x:c r="G83" s="17"/>
      <x:c r="H83" s="23" t="str">
        <x:v>NY</x:v>
      </x:c>
      <x:c r="I83" s="23" t="str">
        <x:v>M2</x:v>
      </x:c>
      <x:c r="J83" s="17" t="str">
        <x:v>Spec §1.6.2 + §2.2.1/2.2.4; programmed baud = 100MHz/(54×16). EPS immaterial if PEN=0.</x:v>
      </x:c>
    </x:row>
    <x:row r="84" ht="170" customHeight="1">
      <x:c r="A84" s="22" t="str">
        <x:v>4.38</x:v>
      </x:c>
      <x:c r="B84" s="17" t="str">
        <x:v>TX 8N1 / 13×</x:v>
      </x:c>
      <x:c r="C84" s="17" t="str">
        <x:v>Objective: Verify TX frame with 8-bit none parity, 1 stop bit(s) and 13× sampling.
Setup: Reset; HCLK=100MHz; MDR=0x01, DLL=0x43, DLH=0; LCR=0x23; baud ≈114810.6 bps.
Stimulus: AHB write TBR=0x55 (from 0x55); UART VIP monitors uart_txd.
Expected: Start=0, 8 LSB-first bits (0x55), NONE parity (omitted), 1 stop bit(s)=1.
Checker / PASS: AHB write completes; UART monitor checks decoded value, parity, stop count and bit period; TX scoreboard compares exactly one expected vs observed frame.
Coverage: TX × WLS8 × NONE × STB1 × OSM13.</x:v>
      </x:c>
      <x:c r="D84" s="17" t="str">
        <x:v>uart_tx_w8_none_s1_osm13_test</x:v>
      </x:c>
      <x:c r="E84" s="17" t="str">
        <x:v>High</x:v>
      </x:c>
      <x:c r="F84" s="17" t="str">
        <x:v>Directed</x:v>
      </x:c>
      <x:c r="G84" s="17"/>
      <x:c r="H84" s="23" t="str">
        <x:v>NY</x:v>
      </x:c>
      <x:c r="I84" s="23" t="str">
        <x:v>M2</x:v>
      </x:c>
      <x:c r="J84" s="17" t="str">
        <x:v>Spec §1.6.2 + §2.2.1/2.2.4; programmed baud = 100MHz/(67×13). EPS immaterial if PEN=0.</x:v>
      </x:c>
    </x:row>
    <x:row r="85" ht="170" customHeight="1">
      <x:c r="A85" s="22" t="str">
        <x:v>4.39</x:v>
      </x:c>
      <x:c r="B85" s="17" t="str">
        <x:v>TX 8N2 / 16×</x:v>
      </x:c>
      <x:c r="C85" s="17" t="str">
        <x:v>Objective: Verify TX frame with 8-bit none parity, 2 stop bit(s) and 16× sampling.
Setup: Reset; HCLK=100MHz; MDR=0x00, DLL=0x36, DLH=0; LCR=0x27; baud ≈115740.7 bps.
Stimulus: AHB write TBR=0x55 (from 0x55); UART VIP monitors uart_txd.
Expected: Start=0, 8 LSB-first bits (0x55), NONE parity (omitted), 2 stop bit(s)=1.
Checker / PASS: AHB write completes; UART monitor checks decoded value, parity, stop count and bit period; TX scoreboard compares exactly one expected vs observed frame.
Coverage: TX × WLS8 × NONE × STB2 × OSM16.</x:v>
      </x:c>
      <x:c r="D85" s="17" t="str">
        <x:v>uart_tx_w8_none_s2_osm16_test</x:v>
      </x:c>
      <x:c r="E85" s="17" t="str">
        <x:v>Medium</x:v>
      </x:c>
      <x:c r="F85" s="17" t="str">
        <x:v>Directed</x:v>
      </x:c>
      <x:c r="G85" s="17"/>
      <x:c r="H85" s="23" t="str">
        <x:v>NY</x:v>
      </x:c>
      <x:c r="I85" s="23" t="str">
        <x:v>M2</x:v>
      </x:c>
      <x:c r="J85" s="17" t="str">
        <x:v>Spec §1.6.2 + §2.2.1/2.2.4; programmed baud = 100MHz/(54×16). EPS immaterial if PEN=0.</x:v>
      </x:c>
    </x:row>
    <x:row r="86" ht="170" customHeight="1">
      <x:c r="A86" s="22" t="str">
        <x:v>4.40</x:v>
      </x:c>
      <x:c r="B86" s="17" t="str">
        <x:v>TX 8N2 / 13×</x:v>
      </x:c>
      <x:c r="C86" s="17" t="str">
        <x:v>Objective: Verify TX frame with 8-bit none parity, 2 stop bit(s) and 13× sampling.
Setup: Reset; HCLK=100MHz; MDR=0x01, DLL=0x43, DLH=0; LCR=0x27; baud ≈114810.6 bps.
Stimulus: AHB write TBR=0x55 (from 0x55); UART VIP monitors uart_txd.
Expected: Start=0, 8 LSB-first bits (0x55), NONE parity (omitted), 2 stop bit(s)=1.
Checker / PASS: AHB write completes; UART monitor checks decoded value, parity, stop count and bit period; TX scoreboard compares exactly one expected vs observed frame.
Coverage: TX × WLS8 × NONE × STB2 × OSM13.</x:v>
      </x:c>
      <x:c r="D86" s="17" t="str">
        <x:v>uart_tx_w8_none_s2_osm13_test</x:v>
      </x:c>
      <x:c r="E86" s="17" t="str">
        <x:v>Medium</x:v>
      </x:c>
      <x:c r="F86" s="17" t="str">
        <x:v>Directed</x:v>
      </x:c>
      <x:c r="G86" s="17"/>
      <x:c r="H86" s="23" t="str">
        <x:v>NY</x:v>
      </x:c>
      <x:c r="I86" s="23" t="str">
        <x:v>M2</x:v>
      </x:c>
      <x:c r="J86" s="17" t="str">
        <x:v>Spec §1.6.2 + §2.2.1/2.2.4; programmed baud = 100MHz/(67×13). EPS immaterial if PEN=0.</x:v>
      </x:c>
    </x:row>
    <x:row r="87" ht="170" customHeight="1">
      <x:c r="A87" s="22" t="str">
        <x:v>4.41</x:v>
      </x:c>
      <x:c r="B87" s="17" t="str">
        <x:v>TX 8E1 / 16×</x:v>
      </x:c>
      <x:c r="C87" s="17" t="str">
        <x:v>Objective: Verify TX frame with 8-bit even parity, 1 stop bit(s) and 16× sampling.
Setup: Reset; HCLK=100MHz; MDR=0x00, DLL=0x36, DLH=0; LCR=0x3B; baud ≈115740.7 bps.
Stimulus: AHB write TBR=0x55 (from 0x55); UART VIP monitors uart_txd.
Expected: Start=0, 8 LSB-first bits (0x55), EVEN parity (one bit), 1 stop bit(s)=1.
Checker / PASS: AHB write completes; UART monitor checks decoded value, parity, stop count and bit period; TX scoreboard compares exactly one expected vs observed frame.
Coverage: TX × WLS8 × EVEN × STB1 × OSM16.</x:v>
      </x:c>
      <x:c r="D87" s="17" t="str">
        <x:v>uart_tx_w8_even_s1_osm16_test</x:v>
      </x:c>
      <x:c r="E87" s="17" t="str">
        <x:v>Medium</x:v>
      </x:c>
      <x:c r="F87" s="17" t="str">
        <x:v>Directed</x:v>
      </x:c>
      <x:c r="G87" s="17"/>
      <x:c r="H87" s="23" t="str">
        <x:v>NY</x:v>
      </x:c>
      <x:c r="I87" s="23" t="str">
        <x:v>M2</x:v>
      </x:c>
      <x:c r="J87" s="17" t="str">
        <x:v>Spec §1.6.2 + §2.2.1/2.2.4; programmed baud = 100MHz/(54×16). EPS immaterial if PEN=0.</x:v>
      </x:c>
    </x:row>
    <x:row r="88" ht="170" customHeight="1">
      <x:c r="A88" s="22" t="str">
        <x:v>4.42</x:v>
      </x:c>
      <x:c r="B88" s="17" t="str">
        <x:v>TX 8E1 / 13×</x:v>
      </x:c>
      <x:c r="C88" s="17" t="str">
        <x:v>Objective: Verify TX frame with 8-bit even parity, 1 stop bit(s) and 13× sampling.
Setup: Reset; HCLK=100MHz; MDR=0x01, DLL=0x43, DLH=0; LCR=0x3B; baud ≈114810.6 bps.
Stimulus: AHB write TBR=0x55 (from 0x55); UART VIP monitors uart_txd.
Expected: Start=0, 8 LSB-first bits (0x55), EVEN parity (one bit), 1 stop bit(s)=1.
Checker / PASS: AHB write completes; UART monitor checks decoded value, parity, stop count and bit period; TX scoreboard compares exactly one expected vs observed frame.
Coverage: TX × WLS8 × EVEN × STB1 × OSM13.</x:v>
      </x:c>
      <x:c r="D88" s="17" t="str">
        <x:v>uart_tx_w8_even_s1_osm13_test</x:v>
      </x:c>
      <x:c r="E88" s="17" t="str">
        <x:v>Medium</x:v>
      </x:c>
      <x:c r="F88" s="17" t="str">
        <x:v>Directed</x:v>
      </x:c>
      <x:c r="G88" s="17"/>
      <x:c r="H88" s="23" t="str">
        <x:v>NY</x:v>
      </x:c>
      <x:c r="I88" s="23" t="str">
        <x:v>M2</x:v>
      </x:c>
      <x:c r="J88" s="17" t="str">
        <x:v>Spec §1.6.2 + §2.2.1/2.2.4; programmed baud = 100MHz/(67×13). EPS immaterial if PEN=0.</x:v>
      </x:c>
    </x:row>
    <x:row r="89" ht="170" customHeight="1">
      <x:c r="A89" s="22" t="str">
        <x:v>4.43</x:v>
      </x:c>
      <x:c r="B89" s="17" t="str">
        <x:v>TX 8E2 / 16×</x:v>
      </x:c>
      <x:c r="C89" s="17" t="str">
        <x:v>Objective: Verify TX frame with 8-bit even parity, 2 stop bit(s) and 16× sampling.
Setup: Reset; HCLK=100MHz; MDR=0x00, DLL=0x36, DLH=0; LCR=0x3F; baud ≈115740.7 bps.
Stimulus: AHB write TBR=0x55 (from 0x55); UART VIP monitors uart_txd.
Expected: Start=0, 8 LSB-first bits (0x55), EVEN parity (one bit), 2 stop bit(s)=1.
Checker / PASS: AHB write completes; UART monitor checks decoded value, parity, stop count and bit period; TX scoreboard compares exactly one expected vs observed frame.
Coverage: TX × WLS8 × EVEN × STB2 × OSM16.</x:v>
      </x:c>
      <x:c r="D89" s="17" t="str">
        <x:v>uart_tx_w8_even_s2_osm16_test</x:v>
      </x:c>
      <x:c r="E89" s="17" t="str">
        <x:v>Medium</x:v>
      </x:c>
      <x:c r="F89" s="17" t="str">
        <x:v>Directed</x:v>
      </x:c>
      <x:c r="G89" s="17"/>
      <x:c r="H89" s="23" t="str">
        <x:v>NY</x:v>
      </x:c>
      <x:c r="I89" s="23" t="str">
        <x:v>M2</x:v>
      </x:c>
      <x:c r="J89" s="17" t="str">
        <x:v>Spec §1.6.2 + §2.2.1/2.2.4; programmed baud = 100MHz/(54×16). EPS immaterial if PEN=0.</x:v>
      </x:c>
    </x:row>
    <x:row r="90" ht="170" customHeight="1">
      <x:c r="A90" s="22" t="str">
        <x:v>4.44</x:v>
      </x:c>
      <x:c r="B90" s="17" t="str">
        <x:v>TX 8E2 / 13×</x:v>
      </x:c>
      <x:c r="C90" s="17" t="str">
        <x:v>Objective: Verify TX frame with 8-bit even parity, 2 stop bit(s) and 13× sampling.
Setup: Reset; HCLK=100MHz; MDR=0x01, DLL=0x43, DLH=0; LCR=0x3F; baud ≈114810.6 bps.
Stimulus: AHB write TBR=0x55 (from 0x55); UART VIP monitors uart_txd.
Expected: Start=0, 8 LSB-first bits (0x55), EVEN parity (one bit), 2 stop bit(s)=1.
Checker / PASS: AHB write completes; UART monitor checks decoded value, parity, stop count and bit period; TX scoreboard compares exactly one expected vs observed frame.
Coverage: TX × WLS8 × EVEN × STB2 × OSM13.</x:v>
      </x:c>
      <x:c r="D90" s="17" t="str">
        <x:v>uart_tx_w8_even_s2_osm13_test</x:v>
      </x:c>
      <x:c r="E90" s="17" t="str">
        <x:v>Medium</x:v>
      </x:c>
      <x:c r="F90" s="17" t="str">
        <x:v>Directed</x:v>
      </x:c>
      <x:c r="G90" s="17"/>
      <x:c r="H90" s="23" t="str">
        <x:v>NY</x:v>
      </x:c>
      <x:c r="I90" s="23" t="str">
        <x:v>M2</x:v>
      </x:c>
      <x:c r="J90" s="17" t="str">
        <x:v>Spec §1.6.2 + §2.2.1/2.2.4; programmed baud = 100MHz/(67×13). EPS immaterial if PEN=0.</x:v>
      </x:c>
    </x:row>
    <x:row r="91" ht="170" customHeight="1">
      <x:c r="A91" s="22" t="str">
        <x:v>4.45</x:v>
      </x:c>
      <x:c r="B91" s="17" t="str">
        <x:v>TX 8O1 / 16×</x:v>
      </x:c>
      <x:c r="C91" s="17" t="str">
        <x:v>Objective: Verify TX frame with 8-bit odd parity, 1 stop bit(s) and 16× sampling.
Setup: Reset; HCLK=100MHz; MDR=0x00, DLL=0x36, DLH=0; LCR=0x2B; baud ≈115740.7 bps.
Stimulus: AHB write TBR=0x55 (from 0x55); UART VIP monitors uart_txd.
Expected: Start=0, 8 LSB-first bits (0x55), ODD parity (one bit), 1 stop bit(s)=1.
Checker / PASS: AHB write completes; UART monitor checks decoded value, parity, stop count and bit period; TX scoreboard compares exactly one expected vs observed frame.
Coverage: TX × WLS8 × ODD × STB1 × OSM16.</x:v>
      </x:c>
      <x:c r="D91" s="17" t="str">
        <x:v>uart_tx_w8_odd_s1_osm16_test</x:v>
      </x:c>
      <x:c r="E91" s="17" t="str">
        <x:v>Medium</x:v>
      </x:c>
      <x:c r="F91" s="17" t="str">
        <x:v>Directed</x:v>
      </x:c>
      <x:c r="G91" s="17"/>
      <x:c r="H91" s="23" t="str">
        <x:v>NY</x:v>
      </x:c>
      <x:c r="I91" s="23" t="str">
        <x:v>M2</x:v>
      </x:c>
      <x:c r="J91" s="17" t="str">
        <x:v>Spec §1.6.2 + §2.2.1/2.2.4; programmed baud = 100MHz/(54×16). EPS immaterial if PEN=0.</x:v>
      </x:c>
    </x:row>
    <x:row r="92" ht="170" customHeight="1">
      <x:c r="A92" s="22" t="str">
        <x:v>4.46</x:v>
      </x:c>
      <x:c r="B92" s="17" t="str">
        <x:v>TX 8O1 / 13×</x:v>
      </x:c>
      <x:c r="C92" s="17" t="str">
        <x:v>Objective: Verify TX frame with 8-bit odd parity, 1 stop bit(s) and 13× sampling.
Setup: Reset; HCLK=100MHz; MDR=0x01, DLL=0x43, DLH=0; LCR=0x2B; baud ≈114810.6 bps.
Stimulus: AHB write TBR=0x55 (from 0x55); UART VIP monitors uart_txd.
Expected: Start=0, 8 LSB-first bits (0x55), ODD parity (one bit), 1 stop bit(s)=1.
Checker / PASS: AHB write completes; UART monitor checks decoded value, parity, stop count and bit period; TX scoreboard compares exactly one expected vs observed frame.
Coverage: TX × WLS8 × ODD × STB1 × OSM13.</x:v>
      </x:c>
      <x:c r="D92" s="17" t="str">
        <x:v>uart_tx_w8_odd_s1_osm13_test</x:v>
      </x:c>
      <x:c r="E92" s="17" t="str">
        <x:v>Medium</x:v>
      </x:c>
      <x:c r="F92" s="17" t="str">
        <x:v>Directed</x:v>
      </x:c>
      <x:c r="G92" s="17"/>
      <x:c r="H92" s="23" t="str">
        <x:v>NY</x:v>
      </x:c>
      <x:c r="I92" s="23" t="str">
        <x:v>M2</x:v>
      </x:c>
      <x:c r="J92" s="17" t="str">
        <x:v>Spec §1.6.2 + §2.2.1/2.2.4; programmed baud = 100MHz/(67×13). EPS immaterial if PEN=0.</x:v>
      </x:c>
    </x:row>
    <x:row r="93" ht="170" customHeight="1">
      <x:c r="A93" s="22" t="str">
        <x:v>4.47</x:v>
      </x:c>
      <x:c r="B93" s="17" t="str">
        <x:v>TX 8O2 / 16×</x:v>
      </x:c>
      <x:c r="C93" s="17" t="str">
        <x:v>Objective: Verify TX frame with 8-bit odd parity, 2 stop bit(s) and 16× sampling.
Setup: Reset; HCLK=100MHz; MDR=0x00, DLL=0x36, DLH=0; LCR=0x2F; baud ≈115740.7 bps.
Stimulus: AHB write TBR=0x55 (from 0x55); UART VIP monitors uart_txd.
Expected: Start=0, 8 LSB-first bits (0x55), ODD parity (one bit), 2 stop bit(s)=1.
Checker / PASS: AHB write completes; UART monitor checks decoded value, parity, stop count and bit period; TX scoreboard compares exactly one expected vs observed frame.
Coverage: TX × WLS8 × ODD × STB2 × OSM16.</x:v>
      </x:c>
      <x:c r="D93" s="17" t="str">
        <x:v>uart_tx_w8_odd_s2_osm16_test</x:v>
      </x:c>
      <x:c r="E93" s="17" t="str">
        <x:v>Medium</x:v>
      </x:c>
      <x:c r="F93" s="17" t="str">
        <x:v>Directed</x:v>
      </x:c>
      <x:c r="G93" s="17"/>
      <x:c r="H93" s="23" t="str">
        <x:v>NY</x:v>
      </x:c>
      <x:c r="I93" s="23" t="str">
        <x:v>M2</x:v>
      </x:c>
      <x:c r="J93" s="17" t="str">
        <x:v>Spec §1.6.2 + §2.2.1/2.2.4; programmed baud = 100MHz/(54×16). EPS immaterial if PEN=0.</x:v>
      </x:c>
    </x:row>
    <x:row r="94" ht="170" customHeight="1">
      <x:c r="A94" s="22" t="str">
        <x:v>4.48</x:v>
      </x:c>
      <x:c r="B94" s="17" t="str">
        <x:v>TX 8O2 / 13×</x:v>
      </x:c>
      <x:c r="C94" s="17" t="str">
        <x:v>Objective: Verify TX frame with 8-bit odd parity, 2 stop bit(s) and 13× sampling.
Setup: Reset; HCLK=100MHz; MDR=0x01, DLL=0x43, DLH=0; LCR=0x2F; baud ≈114810.6 bps.
Stimulus: AHB write TBR=0x55 (from 0x55); UART VIP monitors uart_txd.
Expected: Start=0, 8 LSB-first bits (0x55), ODD parity (one bit), 2 stop bit(s)=1.
Checker / PASS: AHB write completes; UART monitor checks decoded value, parity, stop count and bit period; TX scoreboard compares exactly one expected vs observed frame.
Coverage: TX × WLS8 × ODD × STB2 × OSM13.</x:v>
      </x:c>
      <x:c r="D94" s="17" t="str">
        <x:v>uart_tx_w8_odd_s2_osm13_test</x:v>
      </x:c>
      <x:c r="E94" s="17" t="str">
        <x:v>Medium</x:v>
      </x:c>
      <x:c r="F94" s="17" t="str">
        <x:v>Directed</x:v>
      </x:c>
      <x:c r="G94" s="17"/>
      <x:c r="H94" s="23" t="str">
        <x:v>NY</x:v>
      </x:c>
      <x:c r="I94" s="23" t="str">
        <x:v>M2</x:v>
      </x:c>
      <x:c r="J94" s="17" t="str">
        <x:v>Spec §1.6.2 + §2.2.1/2.2.4; programmed baud = 100MHz/(67×13). EPS immaterial if PEN=0.</x:v>
      </x:c>
    </x:row>
    <x:row r="95" ht="170" customHeight="1">
      <x:c r="A95" s="22" t="str">
        <x:v>4.49</x:v>
      </x:c>
      <x:c r="B95" s="17" t="str">
        <x:v>TX all-zero data pattern</x:v>
      </x:c>
      <x:c r="C95" s="17" t="str">
        <x:v>Objective: Verify 8N1 TX reliably emits all-zero data bits and maintains a valid stop.
Setup: Reset; 16×, 115200 nominal, LCR=0x23; TX FIFO initially empty.
Stimulus: AHB write TBR=0x00; observe one complete uart_txd frame.
Expected: One start, eight zero data bits, high stop; no lost frame.
Checker / PASS: Expected AHB TBR event vs UART monitor decode; detect missing/extra frame.
Coverage: TX payload all-zero.</x:v>
      </x:c>
      <x:c r="D95" s="17" t="str">
        <x:v>uart_tx_pattern_zero_test</x:v>
      </x:c>
      <x:c r="E95" s="17" t="str">
        <x:v>High</x:v>
      </x:c>
      <x:c r="F95" s="17" t="str">
        <x:v>Directed</x:v>
      </x:c>
      <x:c r="G95" s="17"/>
      <x:c r="H95" s="23" t="str">
        <x:v>NY</x:v>
      </x:c>
      <x:c r="I95" s="23" t="str">
        <x:v>M2</x:v>
      </x:c>
      <x:c r="J95" s="17" t="str">
        <x:v>Spec §1.6.2 + §1.7.1.</x:v>
      </x:c>
    </x:row>
    <x:row r="96" ht="170" customHeight="1">
      <x:c r="A96" s="22" t="str">
        <x:v>4.50</x:v>
      </x:c>
      <x:c r="B96" s="17" t="str">
        <x:v>TX all-one data pattern</x:v>
      </x:c>
      <x:c r="C96" s="17" t="str">
        <x:v>Objective: Verify 8N1 TX emits all-one payload including consecutive high data bits.
Setup: Reset; 16×, 115200 nominal, 8N1.
Stimulus: AHB write TBR=0xFF and capture whole frame.
Expected: Decoded 0xFF with correct start and stop, despite long consecutive high interval.
Checker / PASS: UART decoder + byte-wise scoreboard and timing checks.
Coverage: TX payload all-ones.</x:v>
      </x:c>
      <x:c r="D96" s="17" t="str">
        <x:v>uart_tx_pattern_ff_test</x:v>
      </x:c>
      <x:c r="E96" s="17" t="str">
        <x:v>High</x:v>
      </x:c>
      <x:c r="F96" s="17" t="str">
        <x:v>Directed</x:v>
      </x:c>
      <x:c r="G96" s="17"/>
      <x:c r="H96" s="23" t="str">
        <x:v>NY</x:v>
      </x:c>
      <x:c r="I96" s="23" t="str">
        <x:v>M2</x:v>
      </x:c>
      <x:c r="J96" s="17" t="str">
        <x:v>Spec §1.6.2; independent pattern test.</x:v>
      </x:c>
    </x:row>
    <x:row r="97" ht="170" customHeight="1">
      <x:c r="A97" s="22" t="str">
        <x:v>4.51</x:v>
      </x:c>
      <x:c r="B97" s="17" t="str">
        <x:v>TX consecutive frame ordering</x:v>
      </x:c>
      <x:c r="C97" s="17" t="str">
        <x:v>Objective: Verify multiple TBR writes leave UART TX in FIFO order without duplication.
Setup: Reset; 8N1 16×, valid 115200 baud; avoid writing beyond FIFO full.
Stimulus: Enqueue distinct bytes 0x12, 0x34, 0x56, 0x78; wait until all frames complete.
Expected: Exactly four serial frames emitted in original accepted order.
Checker / PASS: AHB write-completion expected queue vs uart_txd decoded monitor; queue empties.
Coverage: TX multiple frames × ordering.</x:v>
      </x:c>
      <x:c r="D97" s="17" t="str">
        <x:v>uart_tx_stream_order_test</x:v>
      </x:c>
      <x:c r="E97" s="17" t="str">
        <x:v>High</x:v>
      </x:c>
      <x:c r="F97" s="17" t="str">
        <x:v>Directed</x:v>
      </x:c>
      <x:c r="G97" s="17"/>
      <x:c r="H97" s="23" t="str">
        <x:v>NY</x:v>
      </x:c>
      <x:c r="I97" s="23" t="str">
        <x:v>M2</x:v>
      </x:c>
      <x:c r="J97" s="17" t="str">
        <x:v>Spec §1.7.1 and separate 16-byte TX FIFO.</x:v>
      </x:c>
    </x:row>
    <x:row r="98" ht="24" customHeight="1">
      <x:c r="A98" s="27" t="n">
        <x:v>5</x:v>
      </x:c>
      <x:c r="B98" s="28" t="str">
        <x:v>UART Receive Verification</x:v>
      </x:c>
      <x:c r="C98" s="28"/>
      <x:c r="D98" s="28"/>
      <x:c r="E98" s="28"/>
      <x:c r="F98" s="28"/>
      <x:c r="G98" s="28"/>
      <x:c r="H98" s="29"/>
      <x:c r="I98" s="29"/>
      <x:c r="J98" s="28"/>
    </x:row>
    <x:row r="99" ht="170" customHeight="1">
      <x:c r="A99" s="22" t="str">
        <x:v>5.01</x:v>
      </x:c>
      <x:c r="B99" s="17" t="str">
        <x:v>RX 5N1 / 16×</x:v>
      </x:c>
      <x:c r="C99" s="17" t="str">
        <x:v>Objective: Verify RX frame with 5-bit none parity, 1 stop bit(s) and 16× sampling.
Setup: Reset; HCLK=100MHz; MDR=0x00, DLL=0x36, DLH=0; LCR=0x20; baud ≈115740.7 bps.
Stimulus: UART VIP drives 0x06 (masked from 0xA6) into uart_rxd; wait RX ready; read RBR 0x01C.
Expected: RX captures one 5N1 frame; RBR[7:0]=0x06; no parity-error status for a valid frame.
Checker / PASS: UART request monitor/driver expected queue vs completed AHB RBR read; check masked byte and FIFO/event ordering; require one comparison.
Coverage: RX × WLS5 × NONE × STB1 × OSM16.</x:v>
      </x:c>
      <x:c r="D99" s="17" t="str">
        <x:v>uart_rx_w5_none_s1_osm16_test</x:v>
      </x:c>
      <x:c r="E99" s="17" t="str">
        <x:v>Medium</x:v>
      </x:c>
      <x:c r="F99" s="17" t="str">
        <x:v>Directed</x:v>
      </x:c>
      <x:c r="G99" s="17"/>
      <x:c r="H99" s="23" t="str">
        <x:v>NY</x:v>
      </x:c>
      <x:c r="I99" s="23" t="str">
        <x:v>M3</x:v>
      </x:c>
      <x:c r="J99" s="17" t="str">
        <x:v>Spec §1.6.2 + §2.2.1/2.2.4; programmed baud = 100MHz/(54×16). EPS immaterial if PEN=0.</x:v>
      </x:c>
    </x:row>
    <x:row r="100" ht="170" customHeight="1">
      <x:c r="A100" s="22" t="str">
        <x:v>5.02</x:v>
      </x:c>
      <x:c r="B100" s="17" t="str">
        <x:v>RX 5N1 / 13×</x:v>
      </x:c>
      <x:c r="C100" s="17" t="str">
        <x:v>Objective: Verify RX frame with 5-bit none parity, 1 stop bit(s) and 13× sampling.
Setup: Reset; HCLK=100MHz; MDR=0x01, DLL=0x43, DLH=0; LCR=0x20; baud ≈114810.6 bps.
Stimulus: UART VIP drives 0x06 (masked from 0xA6) into uart_rxd; wait RX ready; read RBR 0x01C.
Expected: RX captures one 5N1 frame; RBR[7:0]=0x06; no parity-error status for a valid frame.
Checker / PASS: UART request monitor/driver expected queue vs completed AHB RBR read; check masked byte and FIFO/event ordering; require one comparison.
Coverage: RX × WLS5 × NONE × STB1 × OSM13.</x:v>
      </x:c>
      <x:c r="D100" s="17" t="str">
        <x:v>uart_rx_w5_none_s1_osm13_test</x:v>
      </x:c>
      <x:c r="E100" s="17" t="str">
        <x:v>Medium</x:v>
      </x:c>
      <x:c r="F100" s="17" t="str">
        <x:v>Directed</x:v>
      </x:c>
      <x:c r="G100" s="17"/>
      <x:c r="H100" s="23" t="str">
        <x:v>NY</x:v>
      </x:c>
      <x:c r="I100" s="23" t="str">
        <x:v>M3</x:v>
      </x:c>
      <x:c r="J100" s="17" t="str">
        <x:v>Spec §1.6.2 + §2.2.1/2.2.4; programmed baud = 100MHz/(67×13). EPS immaterial if PEN=0.</x:v>
      </x:c>
    </x:row>
    <x:row r="101" ht="170" customHeight="1">
      <x:c r="A101" s="22" t="str">
        <x:v>5.03</x:v>
      </x:c>
      <x:c r="B101" s="17" t="str">
        <x:v>RX 5N2 / 16×</x:v>
      </x:c>
      <x:c r="C101" s="17" t="str">
        <x:v>Objective: Verify RX frame with 5-bit none parity, 2 stop bit(s) and 16× sampling.
Setup: Reset; HCLK=100MHz; MDR=0x00, DLL=0x36, DLH=0; LCR=0x24; baud ≈115740.7 bps.
Stimulus: UART VIP drives 0x06 (masked from 0xA6) into uart_rxd; wait RX ready; read RBR 0x01C.
Expected: RX captures one 5N2 frame; RBR[7:0]=0x06; no parity-error status for a valid frame.
Checker / PASS: UART request monitor/driver expected queue vs completed AHB RBR read; check masked byte and FIFO/event ordering; require one comparison.
Coverage: RX × WLS5 × NONE × STB2 × OSM16.</x:v>
      </x:c>
      <x:c r="D101" s="17" t="str">
        <x:v>uart_rx_w5_none_s2_osm16_test</x:v>
      </x:c>
      <x:c r="E101" s="17" t="str">
        <x:v>Medium</x:v>
      </x:c>
      <x:c r="F101" s="17" t="str">
        <x:v>Directed</x:v>
      </x:c>
      <x:c r="G101" s="17"/>
      <x:c r="H101" s="23" t="str">
        <x:v>NY</x:v>
      </x:c>
      <x:c r="I101" s="23" t="str">
        <x:v>M3</x:v>
      </x:c>
      <x:c r="J101" s="17" t="str">
        <x:v>Spec §1.6.2 + §2.2.1/2.2.4; programmed baud = 100MHz/(54×16). EPS immaterial if PEN=0.</x:v>
      </x:c>
    </x:row>
    <x:row r="102" ht="170" customHeight="1">
      <x:c r="A102" s="22" t="str">
        <x:v>5.04</x:v>
      </x:c>
      <x:c r="B102" s="17" t="str">
        <x:v>RX 5N2 / 13×</x:v>
      </x:c>
      <x:c r="C102" s="17" t="str">
        <x:v>Objective: Verify RX frame with 5-bit none parity, 2 stop bit(s) and 13× sampling.
Setup: Reset; HCLK=100MHz; MDR=0x01, DLL=0x43, DLH=0; LCR=0x24; baud ≈114810.6 bps.
Stimulus: UART VIP drives 0x06 (masked from 0xA6) into uart_rxd; wait RX ready; read RBR 0x01C.
Expected: RX captures one 5N2 frame; RBR[7:0]=0x06; no parity-error status for a valid frame.
Checker / PASS: UART request monitor/driver expected queue vs completed AHB RBR read; check masked byte and FIFO/event ordering; require one comparison.
Coverage: RX × WLS5 × NONE × STB2 × OSM13.</x:v>
      </x:c>
      <x:c r="D102" s="17" t="str">
        <x:v>uart_rx_w5_none_s2_osm13_test</x:v>
      </x:c>
      <x:c r="E102" s="17" t="str">
        <x:v>Medium</x:v>
      </x:c>
      <x:c r="F102" s="17" t="str">
        <x:v>Directed</x:v>
      </x:c>
      <x:c r="G102" s="17"/>
      <x:c r="H102" s="23" t="str">
        <x:v>NY</x:v>
      </x:c>
      <x:c r="I102" s="23" t="str">
        <x:v>M3</x:v>
      </x:c>
      <x:c r="J102" s="17" t="str">
        <x:v>Spec §1.6.2 + §2.2.1/2.2.4; programmed baud = 100MHz/(67×13). EPS immaterial if PEN=0.</x:v>
      </x:c>
    </x:row>
    <x:row r="103" ht="170" customHeight="1">
      <x:c r="A103" s="22" t="str">
        <x:v>5.05</x:v>
      </x:c>
      <x:c r="B103" s="17" t="str">
        <x:v>RX 5E1 / 16×</x:v>
      </x:c>
      <x:c r="C103" s="17" t="str">
        <x:v>Objective: Verify RX frame with 5-bit even parity, 1 stop bit(s) and 16× sampling.
Setup: Reset; HCLK=100MHz; MDR=0x00, DLL=0x36, DLH=0; LCR=0x38; baud ≈115740.7 bps.
Stimulus: UART VIP drives 0x06 (masked from 0xA6) into uart_rxd; wait RX ready; read RBR 0x01C.
Expected: RX captures one 5E1 frame; RBR[7:0]=0x06; no parity-error status for a valid frame.
Checker / PASS: UART request monitor/driver expected queue vs completed AHB RBR read; check masked byte and FIFO/event ordering; require one comparison.
Coverage: RX × WLS5 × EVEN × STB1 × OSM16.</x:v>
      </x:c>
      <x:c r="D103" s="17" t="str">
        <x:v>uart_rx_w5_even_s1_osm16_test</x:v>
      </x:c>
      <x:c r="E103" s="17" t="str">
        <x:v>Medium</x:v>
      </x:c>
      <x:c r="F103" s="17" t="str">
        <x:v>Directed</x:v>
      </x:c>
      <x:c r="G103" s="17"/>
      <x:c r="H103" s="23" t="str">
        <x:v>NY</x:v>
      </x:c>
      <x:c r="I103" s="23" t="str">
        <x:v>M3</x:v>
      </x:c>
      <x:c r="J103" s="17" t="str">
        <x:v>Spec §1.6.2 + §2.2.1/2.2.4; programmed baud = 100MHz/(54×16). EPS immaterial if PEN=0.</x:v>
      </x:c>
    </x:row>
    <x:row r="104" ht="170" customHeight="1">
      <x:c r="A104" s="22" t="str">
        <x:v>5.06</x:v>
      </x:c>
      <x:c r="B104" s="17" t="str">
        <x:v>RX 5E1 / 13×</x:v>
      </x:c>
      <x:c r="C104" s="17" t="str">
        <x:v>Objective: Verify RX frame with 5-bit even parity, 1 stop bit(s) and 13× sampling.
Setup: Reset; HCLK=100MHz; MDR=0x01, DLL=0x43, DLH=0; LCR=0x38; baud ≈114810.6 bps.
Stimulus: UART VIP drives 0x06 (masked from 0xA6) into uart_rxd; wait RX ready; read RBR 0x01C.
Expected: RX captures one 5E1 frame; RBR[7:0]=0x06; no parity-error status for a valid frame.
Checker / PASS: UART request monitor/driver expected queue vs completed AHB RBR read; check masked byte and FIFO/event ordering; require one comparison.
Coverage: RX × WLS5 × EVEN × STB1 × OSM13.</x:v>
      </x:c>
      <x:c r="D104" s="17" t="str">
        <x:v>uart_rx_w5_even_s1_osm13_test</x:v>
      </x:c>
      <x:c r="E104" s="17" t="str">
        <x:v>Medium</x:v>
      </x:c>
      <x:c r="F104" s="17" t="str">
        <x:v>Directed</x:v>
      </x:c>
      <x:c r="G104" s="17"/>
      <x:c r="H104" s="23" t="str">
        <x:v>NY</x:v>
      </x:c>
      <x:c r="I104" s="23" t="str">
        <x:v>M3</x:v>
      </x:c>
      <x:c r="J104" s="17" t="str">
        <x:v>Spec §1.6.2 + §2.2.1/2.2.4; programmed baud = 100MHz/(67×13). EPS immaterial if PEN=0.</x:v>
      </x:c>
    </x:row>
    <x:row r="105" ht="170" customHeight="1">
      <x:c r="A105" s="22" t="str">
        <x:v>5.07</x:v>
      </x:c>
      <x:c r="B105" s="17" t="str">
        <x:v>RX 5E2 / 16×</x:v>
      </x:c>
      <x:c r="C105" s="17" t="str">
        <x:v>Objective: Verify RX frame with 5-bit even parity, 2 stop bit(s) and 16× sampling.
Setup: Reset; HCLK=100MHz; MDR=0x00, DLL=0x36, DLH=0; LCR=0x3C; baud ≈115740.7 bps.
Stimulus: UART VIP drives 0x06 (masked from 0xA6) into uart_rxd; wait RX ready; read RBR 0x01C.
Expected: RX captures one 5E2 frame; RBR[7:0]=0x06; no parity-error status for a valid frame.
Checker / PASS: UART request monitor/driver expected queue vs completed AHB RBR read; check masked byte and FIFO/event ordering; require one comparison.
Coverage: RX × WLS5 × EVEN × STB2 × OSM16.</x:v>
      </x:c>
      <x:c r="D105" s="17" t="str">
        <x:v>uart_rx_w5_even_s2_osm16_test</x:v>
      </x:c>
      <x:c r="E105" s="17" t="str">
        <x:v>Medium</x:v>
      </x:c>
      <x:c r="F105" s="17" t="str">
        <x:v>Directed</x:v>
      </x:c>
      <x:c r="G105" s="17"/>
      <x:c r="H105" s="23" t="str">
        <x:v>NY</x:v>
      </x:c>
      <x:c r="I105" s="23" t="str">
        <x:v>M3</x:v>
      </x:c>
      <x:c r="J105" s="17" t="str">
        <x:v>Spec §1.6.2 + §2.2.1/2.2.4; programmed baud = 100MHz/(54×16). EPS immaterial if PEN=0.</x:v>
      </x:c>
    </x:row>
    <x:row r="106" ht="170" customHeight="1">
      <x:c r="A106" s="22" t="str">
        <x:v>5.08</x:v>
      </x:c>
      <x:c r="B106" s="17" t="str">
        <x:v>RX 5E2 / 13×</x:v>
      </x:c>
      <x:c r="C106" s="17" t="str">
        <x:v>Objective: Verify RX frame with 5-bit even parity, 2 stop bit(s) and 13× sampling.
Setup: Reset; HCLK=100MHz; MDR=0x01, DLL=0x43, DLH=0; LCR=0x3C; baud ≈114810.6 bps.
Stimulus: UART VIP drives 0x06 (masked from 0xA6) into uart_rxd; wait RX ready; read RBR 0x01C.
Expected: RX captures one 5E2 frame; RBR[7:0]=0x06; no parity-error status for a valid frame.
Checker / PASS: UART request monitor/driver expected queue vs completed AHB RBR read; check masked byte and FIFO/event ordering; require one comparison.
Coverage: RX × WLS5 × EVEN × STB2 × OSM13.</x:v>
      </x:c>
      <x:c r="D106" s="17" t="str">
        <x:v>uart_rx_w5_even_s2_osm13_test</x:v>
      </x:c>
      <x:c r="E106" s="17" t="str">
        <x:v>Medium</x:v>
      </x:c>
      <x:c r="F106" s="17" t="str">
        <x:v>Directed</x:v>
      </x:c>
      <x:c r="G106" s="17"/>
      <x:c r="H106" s="23" t="str">
        <x:v>NY</x:v>
      </x:c>
      <x:c r="I106" s="23" t="str">
        <x:v>M3</x:v>
      </x:c>
      <x:c r="J106" s="17" t="str">
        <x:v>Spec §1.6.2 + §2.2.1/2.2.4; programmed baud = 100MHz/(67×13). EPS immaterial if PEN=0.</x:v>
      </x:c>
    </x:row>
    <x:row r="107" ht="170" customHeight="1">
      <x:c r="A107" s="22" t="str">
        <x:v>5.09</x:v>
      </x:c>
      <x:c r="B107" s="17" t="str">
        <x:v>RX 5O1 / 16×</x:v>
      </x:c>
      <x:c r="C107" s="17" t="str">
        <x:v>Objective: Verify RX frame with 5-bit odd parity, 1 stop bit(s) and 16× sampling.
Setup: Reset; HCLK=100MHz; MDR=0x00, DLL=0x36, DLH=0; LCR=0x28; baud ≈115740.7 bps.
Stimulus: UART VIP drives 0x06 (masked from 0xA6) into uart_rxd; wait RX ready; read RBR 0x01C.
Expected: RX captures one 5O1 frame; RBR[7:0]=0x06; no parity-error status for a valid frame.
Checker / PASS: UART request monitor/driver expected queue vs completed AHB RBR read; check masked byte and FIFO/event ordering; require one comparison.
Coverage: RX × WLS5 × ODD × STB1 × OSM16.</x:v>
      </x:c>
      <x:c r="D107" s="17" t="str">
        <x:v>uart_rx_w5_odd_s1_osm16_test</x:v>
      </x:c>
      <x:c r="E107" s="17" t="str">
        <x:v>Medium</x:v>
      </x:c>
      <x:c r="F107" s="17" t="str">
        <x:v>Directed</x:v>
      </x:c>
      <x:c r="G107" s="17"/>
      <x:c r="H107" s="23" t="str">
        <x:v>NY</x:v>
      </x:c>
      <x:c r="I107" s="23" t="str">
        <x:v>M3</x:v>
      </x:c>
      <x:c r="J107" s="17" t="str">
        <x:v>Spec §1.6.2 + §2.2.1/2.2.4; programmed baud = 100MHz/(54×16). EPS immaterial if PEN=0.</x:v>
      </x:c>
    </x:row>
    <x:row r="108" ht="170" customHeight="1">
      <x:c r="A108" s="22" t="str">
        <x:v>5.10</x:v>
      </x:c>
      <x:c r="B108" s="17" t="str">
        <x:v>RX 5O1 / 13×</x:v>
      </x:c>
      <x:c r="C108" s="17" t="str">
        <x:v>Objective: Verify RX frame with 5-bit odd parity, 1 stop bit(s) and 13× sampling.
Setup: Reset; HCLK=100MHz; MDR=0x01, DLL=0x43, DLH=0; LCR=0x28; baud ≈114810.6 bps.
Stimulus: UART VIP drives 0x06 (masked from 0xA6) into uart_rxd; wait RX ready; read RBR 0x01C.
Expected: RX captures one 5O1 frame; RBR[7:0]=0x06; no parity-error status for a valid frame.
Checker / PASS: UART request monitor/driver expected queue vs completed AHB RBR read; check masked byte and FIFO/event ordering; require one comparison.
Coverage: RX × WLS5 × ODD × STB1 × OSM13.</x:v>
      </x:c>
      <x:c r="D108" s="17" t="str">
        <x:v>uart_rx_w5_odd_s1_osm13_test</x:v>
      </x:c>
      <x:c r="E108" s="17" t="str">
        <x:v>Medium</x:v>
      </x:c>
      <x:c r="F108" s="17" t="str">
        <x:v>Directed</x:v>
      </x:c>
      <x:c r="G108" s="17"/>
      <x:c r="H108" s="23" t="str">
        <x:v>NY</x:v>
      </x:c>
      <x:c r="I108" s="23" t="str">
        <x:v>M3</x:v>
      </x:c>
      <x:c r="J108" s="17" t="str">
        <x:v>Spec §1.6.2 + §2.2.1/2.2.4; programmed baud = 100MHz/(67×13). EPS immaterial if PEN=0.</x:v>
      </x:c>
    </x:row>
    <x:row r="109" ht="170" customHeight="1">
      <x:c r="A109" s="22" t="str">
        <x:v>5.11</x:v>
      </x:c>
      <x:c r="B109" s="17" t="str">
        <x:v>RX 5O2 / 16×</x:v>
      </x:c>
      <x:c r="C109" s="17" t="str">
        <x:v>Objective: Verify RX frame with 5-bit odd parity, 2 stop bit(s) and 16× sampling.
Setup: Reset; HCLK=100MHz; MDR=0x00, DLL=0x36, DLH=0; LCR=0x2C; baud ≈115740.7 bps.
Stimulus: UART VIP drives 0x06 (masked from 0xA6) into uart_rxd; wait RX ready; read RBR 0x01C.
Expected: RX captures one 5O2 frame; RBR[7:0]=0x06; no parity-error status for a valid frame.
Checker / PASS: UART request monitor/driver expected queue vs completed AHB RBR read; check masked byte and FIFO/event ordering; require one comparison.
Coverage: RX × WLS5 × ODD × STB2 × OSM16.</x:v>
      </x:c>
      <x:c r="D109" s="17" t="str">
        <x:v>uart_rx_w5_odd_s2_osm16_test</x:v>
      </x:c>
      <x:c r="E109" s="17" t="str">
        <x:v>Medium</x:v>
      </x:c>
      <x:c r="F109" s="17" t="str">
        <x:v>Directed</x:v>
      </x:c>
      <x:c r="G109" s="17"/>
      <x:c r="H109" s="23" t="str">
        <x:v>NY</x:v>
      </x:c>
      <x:c r="I109" s="23" t="str">
        <x:v>M3</x:v>
      </x:c>
      <x:c r="J109" s="17" t="str">
        <x:v>Spec §1.6.2 + §2.2.1/2.2.4; programmed baud = 100MHz/(54×16). EPS immaterial if PEN=0.</x:v>
      </x:c>
    </x:row>
    <x:row r="110" ht="170" customHeight="1">
      <x:c r="A110" s="22" t="str">
        <x:v>5.12</x:v>
      </x:c>
      <x:c r="B110" s="17" t="str">
        <x:v>RX 5O2 / 13×</x:v>
      </x:c>
      <x:c r="C110" s="17" t="str">
        <x:v>Objective: Verify RX frame with 5-bit odd parity, 2 stop bit(s) and 13× sampling.
Setup: Reset; HCLK=100MHz; MDR=0x01, DLL=0x43, DLH=0; LCR=0x2C; baud ≈114810.6 bps.
Stimulus: UART VIP drives 0x06 (masked from 0xA6) into uart_rxd; wait RX ready; read RBR 0x01C.
Expected: RX captures one 5O2 frame; RBR[7:0]=0x06; no parity-error status for a valid frame.
Checker / PASS: UART request monitor/driver expected queue vs completed AHB RBR read; check masked byte and FIFO/event ordering; require one comparison.
Coverage: RX × WLS5 × ODD × STB2 × OSM13.</x:v>
      </x:c>
      <x:c r="D110" s="17" t="str">
        <x:v>uart_rx_w5_odd_s2_osm13_test</x:v>
      </x:c>
      <x:c r="E110" s="17" t="str">
        <x:v>Medium</x:v>
      </x:c>
      <x:c r="F110" s="17" t="str">
        <x:v>Directed</x:v>
      </x:c>
      <x:c r="G110" s="17"/>
      <x:c r="H110" s="23" t="str">
        <x:v>NY</x:v>
      </x:c>
      <x:c r="I110" s="23" t="str">
        <x:v>M3</x:v>
      </x:c>
      <x:c r="J110" s="17" t="str">
        <x:v>Spec §1.6.2 + §2.2.1/2.2.4; programmed baud = 100MHz/(67×13). EPS immaterial if PEN=0.</x:v>
      </x:c>
    </x:row>
    <x:row r="111" ht="170" customHeight="1">
      <x:c r="A111" s="22" t="str">
        <x:v>5.13</x:v>
      </x:c>
      <x:c r="B111" s="17" t="str">
        <x:v>RX 6N1 / 16×</x:v>
      </x:c>
      <x:c r="C111" s="17" t="str">
        <x:v>Objective: Verify RX frame with 6-bit none parity, 1 stop bit(s) and 16× sampling.
Setup: Reset; HCLK=100MHz; MDR=0x00, DLL=0x36, DLH=0; LCR=0x21; baud ≈115740.7 bps.
Stimulus: UART VIP drives 0x26 (masked from 0xA6) into uart_rxd; wait RX ready; read RBR 0x01C.
Expected: RX captures one 6N1 frame; RBR[7:0]=0x26; no parity-error status for a valid frame.
Checker / PASS: UART request monitor/driver expected queue vs completed AHB RBR read; check masked byte and FIFO/event ordering; require one comparison.
Coverage: RX × WLS6 × NONE × STB1 × OSM16.</x:v>
      </x:c>
      <x:c r="D111" s="17" t="str">
        <x:v>uart_rx_w6_none_s1_osm16_test</x:v>
      </x:c>
      <x:c r="E111" s="17" t="str">
        <x:v>Medium</x:v>
      </x:c>
      <x:c r="F111" s="17" t="str">
        <x:v>Directed</x:v>
      </x:c>
      <x:c r="G111" s="17"/>
      <x:c r="H111" s="23" t="str">
        <x:v>NY</x:v>
      </x:c>
      <x:c r="I111" s="23" t="str">
        <x:v>M3</x:v>
      </x:c>
      <x:c r="J111" s="17" t="str">
        <x:v>Spec §1.6.2 + §2.2.1/2.2.4; programmed baud = 100MHz/(54×16). EPS immaterial if PEN=0.</x:v>
      </x:c>
    </x:row>
    <x:row r="112" ht="170" customHeight="1">
      <x:c r="A112" s="22" t="str">
        <x:v>5.14</x:v>
      </x:c>
      <x:c r="B112" s="17" t="str">
        <x:v>RX 6N1 / 13×</x:v>
      </x:c>
      <x:c r="C112" s="17" t="str">
        <x:v>Objective: Verify RX frame with 6-bit none parity, 1 stop bit(s) and 13× sampling.
Setup: Reset; HCLK=100MHz; MDR=0x01, DLL=0x43, DLH=0; LCR=0x21; baud ≈114810.6 bps.
Stimulus: UART VIP drives 0x26 (masked from 0xA6) into uart_rxd; wait RX ready; read RBR 0x01C.
Expected: RX captures one 6N1 frame; RBR[7:0]=0x26; no parity-error status for a valid frame.
Checker / PASS: UART request monitor/driver expected queue vs completed AHB RBR read; check masked byte and FIFO/event ordering; require one comparison.
Coverage: RX × WLS6 × NONE × STB1 × OSM13.</x:v>
      </x:c>
      <x:c r="D112" s="17" t="str">
        <x:v>uart_rx_w6_none_s1_osm13_test</x:v>
      </x:c>
      <x:c r="E112" s="17" t="str">
        <x:v>Medium</x:v>
      </x:c>
      <x:c r="F112" s="17" t="str">
        <x:v>Directed</x:v>
      </x:c>
      <x:c r="G112" s="17"/>
      <x:c r="H112" s="23" t="str">
        <x:v>NY</x:v>
      </x:c>
      <x:c r="I112" s="23" t="str">
        <x:v>M3</x:v>
      </x:c>
      <x:c r="J112" s="17" t="str">
        <x:v>Spec §1.6.2 + §2.2.1/2.2.4; programmed baud = 100MHz/(67×13). EPS immaterial if PEN=0.</x:v>
      </x:c>
    </x:row>
    <x:row r="113" ht="170" customHeight="1">
      <x:c r="A113" s="22" t="str">
        <x:v>5.15</x:v>
      </x:c>
      <x:c r="B113" s="17" t="str">
        <x:v>RX 6N2 / 16×</x:v>
      </x:c>
      <x:c r="C113" s="17" t="str">
        <x:v>Objective: Verify RX frame with 6-bit none parity, 2 stop bit(s) and 16× sampling.
Setup: Reset; HCLK=100MHz; MDR=0x00, DLL=0x36, DLH=0; LCR=0x25; baud ≈115740.7 bps.
Stimulus: UART VIP drives 0x26 (masked from 0xA6) into uart_rxd; wait RX ready; read RBR 0x01C.
Expected: RX captures one 6N2 frame; RBR[7:0]=0x26; no parity-error status for a valid frame.
Checker / PASS: UART request monitor/driver expected queue vs completed AHB RBR read; check masked byte and FIFO/event ordering; require one comparison.
Coverage: RX × WLS6 × NONE × STB2 × OSM16.</x:v>
      </x:c>
      <x:c r="D113" s="17" t="str">
        <x:v>uart_rx_w6_none_s2_osm16_test</x:v>
      </x:c>
      <x:c r="E113" s="17" t="str">
        <x:v>Medium</x:v>
      </x:c>
      <x:c r="F113" s="17" t="str">
        <x:v>Directed</x:v>
      </x:c>
      <x:c r="G113" s="17"/>
      <x:c r="H113" s="23" t="str">
        <x:v>NY</x:v>
      </x:c>
      <x:c r="I113" s="23" t="str">
        <x:v>M3</x:v>
      </x:c>
      <x:c r="J113" s="17" t="str">
        <x:v>Spec §1.6.2 + §2.2.1/2.2.4; programmed baud = 100MHz/(54×16). EPS immaterial if PEN=0.</x:v>
      </x:c>
    </x:row>
    <x:row r="114" ht="170" customHeight="1">
      <x:c r="A114" s="22" t="str">
        <x:v>5.16</x:v>
      </x:c>
      <x:c r="B114" s="17" t="str">
        <x:v>RX 6N2 / 13×</x:v>
      </x:c>
      <x:c r="C114" s="17" t="str">
        <x:v>Objective: Verify RX frame with 6-bit none parity, 2 stop bit(s) and 13× sampling.
Setup: Reset; HCLK=100MHz; MDR=0x01, DLL=0x43, DLH=0; LCR=0x25; baud ≈114810.6 bps.
Stimulus: UART VIP drives 0x26 (masked from 0xA6) into uart_rxd; wait RX ready; read RBR 0x01C.
Expected: RX captures one 6N2 frame; RBR[7:0]=0x26; no parity-error status for a valid frame.
Checker / PASS: UART request monitor/driver expected queue vs completed AHB RBR read; check masked byte and FIFO/event ordering; require one comparison.
Coverage: RX × WLS6 × NONE × STB2 × OSM13.</x:v>
      </x:c>
      <x:c r="D114" s="17" t="str">
        <x:v>uart_rx_w6_none_s2_osm13_test</x:v>
      </x:c>
      <x:c r="E114" s="17" t="str">
        <x:v>Medium</x:v>
      </x:c>
      <x:c r="F114" s="17" t="str">
        <x:v>Directed</x:v>
      </x:c>
      <x:c r="G114" s="17"/>
      <x:c r="H114" s="23" t="str">
        <x:v>NY</x:v>
      </x:c>
      <x:c r="I114" s="23" t="str">
        <x:v>M3</x:v>
      </x:c>
      <x:c r="J114" s="17" t="str">
        <x:v>Spec §1.6.2 + §2.2.1/2.2.4; programmed baud = 100MHz/(67×13). EPS immaterial if PEN=0.</x:v>
      </x:c>
    </x:row>
    <x:row r="115" ht="170" customHeight="1">
      <x:c r="A115" s="22" t="str">
        <x:v>5.17</x:v>
      </x:c>
      <x:c r="B115" s="17" t="str">
        <x:v>RX 6E1 / 16×</x:v>
      </x:c>
      <x:c r="C115" s="17" t="str">
        <x:v>Objective: Verify RX frame with 6-bit even parity, 1 stop bit(s) and 16× sampling.
Setup: Reset; HCLK=100MHz; MDR=0x00, DLL=0x36, DLH=0; LCR=0x39; baud ≈115740.7 bps.
Stimulus: UART VIP drives 0x26 (masked from 0xA6) into uart_rxd; wait RX ready; read RBR 0x01C.
Expected: RX captures one 6E1 frame; RBR[7:0]=0x26; no parity-error status for a valid frame.
Checker / PASS: UART request monitor/driver expected queue vs completed AHB RBR read; check masked byte and FIFO/event ordering; require one comparison.
Coverage: RX × WLS6 × EVEN × STB1 × OSM16.</x:v>
      </x:c>
      <x:c r="D115" s="17" t="str">
        <x:v>uart_rx_w6_even_s1_osm16_test</x:v>
      </x:c>
      <x:c r="E115" s="17" t="str">
        <x:v>Medium</x:v>
      </x:c>
      <x:c r="F115" s="17" t="str">
        <x:v>Directed</x:v>
      </x:c>
      <x:c r="G115" s="17"/>
      <x:c r="H115" s="23" t="str">
        <x:v>NY</x:v>
      </x:c>
      <x:c r="I115" s="23" t="str">
        <x:v>M3</x:v>
      </x:c>
      <x:c r="J115" s="17" t="str">
        <x:v>Spec §1.6.2 + §2.2.1/2.2.4; programmed baud = 100MHz/(54×16). EPS immaterial if PEN=0.</x:v>
      </x:c>
    </x:row>
    <x:row r="116" ht="170" customHeight="1">
      <x:c r="A116" s="22" t="str">
        <x:v>5.18</x:v>
      </x:c>
      <x:c r="B116" s="17" t="str">
        <x:v>RX 6E1 / 13×</x:v>
      </x:c>
      <x:c r="C116" s="17" t="str">
        <x:v>Objective: Verify RX frame with 6-bit even parity, 1 stop bit(s) and 13× sampling.
Setup: Reset; HCLK=100MHz; MDR=0x01, DLL=0x43, DLH=0; LCR=0x39; baud ≈114810.6 bps.
Stimulus: UART VIP drives 0x26 (masked from 0xA6) into uart_rxd; wait RX ready; read RBR 0x01C.
Expected: RX captures one 6E1 frame; RBR[7:0]=0x26; no parity-error status for a valid frame.
Checker / PASS: UART request monitor/driver expected queue vs completed AHB RBR read; check masked byte and FIFO/event ordering; require one comparison.
Coverage: RX × WLS6 × EVEN × STB1 × OSM13.</x:v>
      </x:c>
      <x:c r="D116" s="17" t="str">
        <x:v>uart_rx_w6_even_s1_osm13_test</x:v>
      </x:c>
      <x:c r="E116" s="17" t="str">
        <x:v>Medium</x:v>
      </x:c>
      <x:c r="F116" s="17" t="str">
        <x:v>Directed</x:v>
      </x:c>
      <x:c r="G116" s="17"/>
      <x:c r="H116" s="23" t="str">
        <x:v>NY</x:v>
      </x:c>
      <x:c r="I116" s="23" t="str">
        <x:v>M3</x:v>
      </x:c>
      <x:c r="J116" s="17" t="str">
        <x:v>Spec §1.6.2 + §2.2.1/2.2.4; programmed baud = 100MHz/(67×13). EPS immaterial if PEN=0.</x:v>
      </x:c>
    </x:row>
    <x:row r="117" ht="170" customHeight="1">
      <x:c r="A117" s="22" t="str">
        <x:v>5.19</x:v>
      </x:c>
      <x:c r="B117" s="17" t="str">
        <x:v>RX 6E2 / 16×</x:v>
      </x:c>
      <x:c r="C117" s="17" t="str">
        <x:v>Objective: Verify RX frame with 6-bit even parity, 2 stop bit(s) and 16× sampling.
Setup: Reset; HCLK=100MHz; MDR=0x00, DLL=0x36, DLH=0; LCR=0x3D; baud ≈115740.7 bps.
Stimulus: UART VIP drives 0x26 (masked from 0xA6) into uart_rxd; wait RX ready; read RBR 0x01C.
Expected: RX captures one 6E2 frame; RBR[7:0]=0x26; no parity-error status for a valid frame.
Checker / PASS: UART request monitor/driver expected queue vs completed AHB RBR read; check masked byte and FIFO/event ordering; require one comparison.
Coverage: RX × WLS6 × EVEN × STB2 × OSM16.</x:v>
      </x:c>
      <x:c r="D117" s="17" t="str">
        <x:v>uart_rx_w6_even_s2_osm16_test</x:v>
      </x:c>
      <x:c r="E117" s="17" t="str">
        <x:v>Medium</x:v>
      </x:c>
      <x:c r="F117" s="17" t="str">
        <x:v>Directed</x:v>
      </x:c>
      <x:c r="G117" s="17"/>
      <x:c r="H117" s="23" t="str">
        <x:v>NY</x:v>
      </x:c>
      <x:c r="I117" s="23" t="str">
        <x:v>M3</x:v>
      </x:c>
      <x:c r="J117" s="17" t="str">
        <x:v>Spec §1.6.2 + §2.2.1/2.2.4; programmed baud = 100MHz/(54×16). EPS immaterial if PEN=0.</x:v>
      </x:c>
    </x:row>
    <x:row r="118" ht="170" customHeight="1">
      <x:c r="A118" s="22" t="str">
        <x:v>5.20</x:v>
      </x:c>
      <x:c r="B118" s="17" t="str">
        <x:v>RX 6E2 / 13×</x:v>
      </x:c>
      <x:c r="C118" s="17" t="str">
        <x:v>Objective: Verify RX frame with 6-bit even parity, 2 stop bit(s) and 13× sampling.
Setup: Reset; HCLK=100MHz; MDR=0x01, DLL=0x43, DLH=0; LCR=0x3D; baud ≈114810.6 bps.
Stimulus: UART VIP drives 0x26 (masked from 0xA6) into uart_rxd; wait RX ready; read RBR 0x01C.
Expected: RX captures one 6E2 frame; RBR[7:0]=0x26; no parity-error status for a valid frame.
Checker / PASS: UART request monitor/driver expected queue vs completed AHB RBR read; check masked byte and FIFO/event ordering; require one comparison.
Coverage: RX × WLS6 × EVEN × STB2 × OSM13.</x:v>
      </x:c>
      <x:c r="D118" s="17" t="str">
        <x:v>uart_rx_w6_even_s2_osm13_test</x:v>
      </x:c>
      <x:c r="E118" s="17" t="str">
        <x:v>Medium</x:v>
      </x:c>
      <x:c r="F118" s="17" t="str">
        <x:v>Directed</x:v>
      </x:c>
      <x:c r="G118" s="17"/>
      <x:c r="H118" s="23" t="str">
        <x:v>NY</x:v>
      </x:c>
      <x:c r="I118" s="23" t="str">
        <x:v>M3</x:v>
      </x:c>
      <x:c r="J118" s="17" t="str">
        <x:v>Spec §1.6.2 + §2.2.1/2.2.4; programmed baud = 100MHz/(67×13). EPS immaterial if PEN=0.</x:v>
      </x:c>
    </x:row>
    <x:row r="119" ht="170" customHeight="1">
      <x:c r="A119" s="22" t="str">
        <x:v>5.21</x:v>
      </x:c>
      <x:c r="B119" s="17" t="str">
        <x:v>RX 6O1 / 16×</x:v>
      </x:c>
      <x:c r="C119" s="17" t="str">
        <x:v>Objective: Verify RX frame with 6-bit odd parity, 1 stop bit(s) and 16× sampling.
Setup: Reset; HCLK=100MHz; MDR=0x00, DLL=0x36, DLH=0; LCR=0x29; baud ≈115740.7 bps.
Stimulus: UART VIP drives 0x26 (masked from 0xA6) into uart_rxd; wait RX ready; read RBR 0x01C.
Expected: RX captures one 6O1 frame; RBR[7:0]=0x26; no parity-error status for a valid frame.
Checker / PASS: UART request monitor/driver expected queue vs completed AHB RBR read; check masked byte and FIFO/event ordering; require one comparison.
Coverage: RX × WLS6 × ODD × STB1 × OSM16.</x:v>
      </x:c>
      <x:c r="D119" s="17" t="str">
        <x:v>uart_rx_w6_odd_s1_osm16_test</x:v>
      </x:c>
      <x:c r="E119" s="17" t="str">
        <x:v>Medium</x:v>
      </x:c>
      <x:c r="F119" s="17" t="str">
        <x:v>Directed</x:v>
      </x:c>
      <x:c r="G119" s="17"/>
      <x:c r="H119" s="23" t="str">
        <x:v>NY</x:v>
      </x:c>
      <x:c r="I119" s="23" t="str">
        <x:v>M3</x:v>
      </x:c>
      <x:c r="J119" s="17" t="str">
        <x:v>Spec §1.6.2 + §2.2.1/2.2.4; programmed baud = 100MHz/(54×16). EPS immaterial if PEN=0.</x:v>
      </x:c>
    </x:row>
    <x:row r="120" ht="170" customHeight="1">
      <x:c r="A120" s="22" t="str">
        <x:v>5.22</x:v>
      </x:c>
      <x:c r="B120" s="17" t="str">
        <x:v>RX 6O1 / 13×</x:v>
      </x:c>
      <x:c r="C120" s="17" t="str">
        <x:v>Objective: Verify RX frame with 6-bit odd parity, 1 stop bit(s) and 13× sampling.
Setup: Reset; HCLK=100MHz; MDR=0x01, DLL=0x43, DLH=0; LCR=0x29; baud ≈114810.6 bps.
Stimulus: UART VIP drives 0x26 (masked from 0xA6) into uart_rxd; wait RX ready; read RBR 0x01C.
Expected: RX captures one 6O1 frame; RBR[7:0]=0x26; no parity-error status for a valid frame.
Checker / PASS: UART request monitor/driver expected queue vs completed AHB RBR read; check masked byte and FIFO/event ordering; require one comparison.
Coverage: RX × WLS6 × ODD × STB1 × OSM13.</x:v>
      </x:c>
      <x:c r="D120" s="17" t="str">
        <x:v>uart_rx_w6_odd_s1_osm13_test</x:v>
      </x:c>
      <x:c r="E120" s="17" t="str">
        <x:v>Medium</x:v>
      </x:c>
      <x:c r="F120" s="17" t="str">
        <x:v>Directed</x:v>
      </x:c>
      <x:c r="G120" s="17"/>
      <x:c r="H120" s="23" t="str">
        <x:v>NY</x:v>
      </x:c>
      <x:c r="I120" s="23" t="str">
        <x:v>M3</x:v>
      </x:c>
      <x:c r="J120" s="17" t="str">
        <x:v>Spec §1.6.2 + §2.2.1/2.2.4; programmed baud = 100MHz/(67×13). EPS immaterial if PEN=0.</x:v>
      </x:c>
    </x:row>
    <x:row r="121" ht="170" customHeight="1">
      <x:c r="A121" s="22" t="str">
        <x:v>5.23</x:v>
      </x:c>
      <x:c r="B121" s="17" t="str">
        <x:v>RX 6O2 / 16×</x:v>
      </x:c>
      <x:c r="C121" s="17" t="str">
        <x:v>Objective: Verify RX frame with 6-bit odd parity, 2 stop bit(s) and 16× sampling.
Setup: Reset; HCLK=100MHz; MDR=0x00, DLL=0x36, DLH=0; LCR=0x2D; baud ≈115740.7 bps.
Stimulus: UART VIP drives 0x26 (masked from 0xA6) into uart_rxd; wait RX ready; read RBR 0x01C.
Expected: RX captures one 6O2 frame; RBR[7:0]=0x26; no parity-error status for a valid frame.
Checker / PASS: UART request monitor/driver expected queue vs completed AHB RBR read; check masked byte and FIFO/event ordering; require one comparison.
Coverage: RX × WLS6 × ODD × STB2 × OSM16.</x:v>
      </x:c>
      <x:c r="D121" s="17" t="str">
        <x:v>uart_rx_w6_odd_s2_osm16_test</x:v>
      </x:c>
      <x:c r="E121" s="17" t="str">
        <x:v>Medium</x:v>
      </x:c>
      <x:c r="F121" s="17" t="str">
        <x:v>Directed</x:v>
      </x:c>
      <x:c r="G121" s="17"/>
      <x:c r="H121" s="23" t="str">
        <x:v>NY</x:v>
      </x:c>
      <x:c r="I121" s="23" t="str">
        <x:v>M3</x:v>
      </x:c>
      <x:c r="J121" s="17" t="str">
        <x:v>Spec §1.6.2 + §2.2.1/2.2.4; programmed baud = 100MHz/(54×16). EPS immaterial if PEN=0.</x:v>
      </x:c>
    </x:row>
    <x:row r="122" ht="170" customHeight="1">
      <x:c r="A122" s="22" t="str">
        <x:v>5.24</x:v>
      </x:c>
      <x:c r="B122" s="17" t="str">
        <x:v>RX 6O2 / 13×</x:v>
      </x:c>
      <x:c r="C122" s="17" t="str">
        <x:v>Objective: Verify RX frame with 6-bit odd parity, 2 stop bit(s) and 13× sampling.
Setup: Reset; HCLK=100MHz; MDR=0x01, DLL=0x43, DLH=0; LCR=0x2D; baud ≈114810.6 bps.
Stimulus: UART VIP drives 0x26 (masked from 0xA6) into uart_rxd; wait RX ready; read RBR 0x01C.
Expected: RX captures one 6O2 frame; RBR[7:0]=0x26; no parity-error status for a valid frame.
Checker / PASS: UART request monitor/driver expected queue vs completed AHB RBR read; check masked byte and FIFO/event ordering; require one comparison.
Coverage: RX × WLS6 × ODD × STB2 × OSM13.</x:v>
      </x:c>
      <x:c r="D122" s="17" t="str">
        <x:v>uart_rx_w6_odd_s2_osm13_test</x:v>
      </x:c>
      <x:c r="E122" s="17" t="str">
        <x:v>Medium</x:v>
      </x:c>
      <x:c r="F122" s="17" t="str">
        <x:v>Directed</x:v>
      </x:c>
      <x:c r="G122" s="17"/>
      <x:c r="H122" s="23" t="str">
        <x:v>NY</x:v>
      </x:c>
      <x:c r="I122" s="23" t="str">
        <x:v>M3</x:v>
      </x:c>
      <x:c r="J122" s="17" t="str">
        <x:v>Spec §1.6.2 + §2.2.1/2.2.4; programmed baud = 100MHz/(67×13). EPS immaterial if PEN=0.</x:v>
      </x:c>
    </x:row>
    <x:row r="123" ht="170" customHeight="1">
      <x:c r="A123" s="22" t="str">
        <x:v>5.25</x:v>
      </x:c>
      <x:c r="B123" s="17" t="str">
        <x:v>RX 7N1 / 16×</x:v>
      </x:c>
      <x:c r="C123" s="17" t="str">
        <x:v>Objective: Verify RX frame with 7-bit none parity, 1 stop bit(s) and 16× sampling.
Setup: Reset; HCLK=100MHz; MDR=0x00, DLL=0x36, DLH=0; LCR=0x22; baud ≈115740.7 bps.
Stimulus: UART VIP drives 0x26 (masked from 0xA6) into uart_rxd; wait RX ready; read RBR 0x01C.
Expected: RX captures one 7N1 frame; RBR[7:0]=0x26; no parity-error status for a valid frame.
Checker / PASS: UART request monitor/driver expected queue vs completed AHB RBR read; check masked byte and FIFO/event ordering; require one comparison.
Coverage: RX × WLS7 × NONE × STB1 × OSM16.</x:v>
      </x:c>
      <x:c r="D123" s="17" t="str">
        <x:v>uart_rx_w7_none_s1_osm16_test</x:v>
      </x:c>
      <x:c r="E123" s="17" t="str">
        <x:v>Medium</x:v>
      </x:c>
      <x:c r="F123" s="17" t="str">
        <x:v>Directed</x:v>
      </x:c>
      <x:c r="G123" s="17"/>
      <x:c r="H123" s="23" t="str">
        <x:v>NY</x:v>
      </x:c>
      <x:c r="I123" s="23" t="str">
        <x:v>M3</x:v>
      </x:c>
      <x:c r="J123" s="17" t="str">
        <x:v>Spec §1.6.2 + §2.2.1/2.2.4; programmed baud = 100MHz/(54×16). EPS immaterial if PEN=0.</x:v>
      </x:c>
    </x:row>
    <x:row r="124" ht="170" customHeight="1">
      <x:c r="A124" s="22" t="str">
        <x:v>5.26</x:v>
      </x:c>
      <x:c r="B124" s="17" t="str">
        <x:v>RX 7N1 / 13×</x:v>
      </x:c>
      <x:c r="C124" s="17" t="str">
        <x:v>Objective: Verify RX frame with 7-bit none parity, 1 stop bit(s) and 13× sampling.
Setup: Reset; HCLK=100MHz; MDR=0x01, DLL=0x43, DLH=0; LCR=0x22; baud ≈114810.6 bps.
Stimulus: UART VIP drives 0x26 (masked from 0xA6) into uart_rxd; wait RX ready; read RBR 0x01C.
Expected: RX captures one 7N1 frame; RBR[7:0]=0x26; no parity-error status for a valid frame.
Checker / PASS: UART request monitor/driver expected queue vs completed AHB RBR read; check masked byte and FIFO/event ordering; require one comparison.
Coverage: RX × WLS7 × NONE × STB1 × OSM13.</x:v>
      </x:c>
      <x:c r="D124" s="17" t="str">
        <x:v>uart_rx_w7_none_s1_osm13_test</x:v>
      </x:c>
      <x:c r="E124" s="17" t="str">
        <x:v>Medium</x:v>
      </x:c>
      <x:c r="F124" s="17" t="str">
        <x:v>Directed</x:v>
      </x:c>
      <x:c r="G124" s="17"/>
      <x:c r="H124" s="23" t="str">
        <x:v>NY</x:v>
      </x:c>
      <x:c r="I124" s="23" t="str">
        <x:v>M3</x:v>
      </x:c>
      <x:c r="J124" s="17" t="str">
        <x:v>Spec §1.6.2 + §2.2.1/2.2.4; programmed baud = 100MHz/(67×13). EPS immaterial if PEN=0.</x:v>
      </x:c>
    </x:row>
    <x:row r="125" ht="170" customHeight="1">
      <x:c r="A125" s="22" t="str">
        <x:v>5.27</x:v>
      </x:c>
      <x:c r="B125" s="17" t="str">
        <x:v>RX 7N2 / 16×</x:v>
      </x:c>
      <x:c r="C125" s="17" t="str">
        <x:v>Objective: Verify RX frame with 7-bit none parity, 2 stop bit(s) and 16× sampling.
Setup: Reset; HCLK=100MHz; MDR=0x00, DLL=0x36, DLH=0; LCR=0x26; baud ≈115740.7 bps.
Stimulus: UART VIP drives 0x26 (masked from 0xA6) into uart_rxd; wait RX ready; read RBR 0x01C.
Expected: RX captures one 7N2 frame; RBR[7:0]=0x26; no parity-error status for a valid frame.
Checker / PASS: UART request monitor/driver expected queue vs completed AHB RBR read; check masked byte and FIFO/event ordering; require one comparison.
Coverage: RX × WLS7 × NONE × STB2 × OSM16.</x:v>
      </x:c>
      <x:c r="D125" s="17" t="str">
        <x:v>uart_rx_w7_none_s2_osm16_test</x:v>
      </x:c>
      <x:c r="E125" s="17" t="str">
        <x:v>Medium</x:v>
      </x:c>
      <x:c r="F125" s="17" t="str">
        <x:v>Directed</x:v>
      </x:c>
      <x:c r="G125" s="17"/>
      <x:c r="H125" s="23" t="str">
        <x:v>NY</x:v>
      </x:c>
      <x:c r="I125" s="23" t="str">
        <x:v>M3</x:v>
      </x:c>
      <x:c r="J125" s="17" t="str">
        <x:v>Spec §1.6.2 + §2.2.1/2.2.4; programmed baud = 100MHz/(54×16). EPS immaterial if PEN=0.</x:v>
      </x:c>
    </x:row>
    <x:row r="126" ht="170" customHeight="1">
      <x:c r="A126" s="22" t="str">
        <x:v>5.28</x:v>
      </x:c>
      <x:c r="B126" s="17" t="str">
        <x:v>RX 7N2 / 13×</x:v>
      </x:c>
      <x:c r="C126" s="17" t="str">
        <x:v>Objective: Verify RX frame with 7-bit none parity, 2 stop bit(s) and 13× sampling.
Setup: Reset; HCLK=100MHz; MDR=0x01, DLL=0x43, DLH=0; LCR=0x26; baud ≈114810.6 bps.
Stimulus: UART VIP drives 0x26 (masked from 0xA6) into uart_rxd; wait RX ready; read RBR 0x01C.
Expected: RX captures one 7N2 frame; RBR[7:0]=0x26; no parity-error status for a valid frame.
Checker / PASS: UART request monitor/driver expected queue vs completed AHB RBR read; check masked byte and FIFO/event ordering; require one comparison.
Coverage: RX × WLS7 × NONE × STB2 × OSM13.</x:v>
      </x:c>
      <x:c r="D126" s="17" t="str">
        <x:v>uart_rx_w7_none_s2_osm13_test</x:v>
      </x:c>
      <x:c r="E126" s="17" t="str">
        <x:v>Medium</x:v>
      </x:c>
      <x:c r="F126" s="17" t="str">
        <x:v>Directed</x:v>
      </x:c>
      <x:c r="G126" s="17"/>
      <x:c r="H126" s="23" t="str">
        <x:v>NY</x:v>
      </x:c>
      <x:c r="I126" s="23" t="str">
        <x:v>M3</x:v>
      </x:c>
      <x:c r="J126" s="17" t="str">
        <x:v>Spec §1.6.2 + §2.2.1/2.2.4; programmed baud = 100MHz/(67×13). EPS immaterial if PEN=0.</x:v>
      </x:c>
    </x:row>
    <x:row r="127" ht="170" customHeight="1">
      <x:c r="A127" s="22" t="str">
        <x:v>5.29</x:v>
      </x:c>
      <x:c r="B127" s="17" t="str">
        <x:v>RX 7E1 / 16×</x:v>
      </x:c>
      <x:c r="C127" s="17" t="str">
        <x:v>Objective: Verify RX frame with 7-bit even parity, 1 stop bit(s) and 16× sampling.
Setup: Reset; HCLK=100MHz; MDR=0x00, DLL=0x36, DLH=0; LCR=0x3A; baud ≈115740.7 bps.
Stimulus: UART VIP drives 0x26 (masked from 0xA6) into uart_rxd; wait RX ready; read RBR 0x01C.
Expected: RX captures one 7E1 frame; RBR[7:0]=0x26; no parity-error status for a valid frame.
Checker / PASS: UART request monitor/driver expected queue vs completed AHB RBR read; check masked byte and FIFO/event ordering; require one comparison.
Coverage: RX × WLS7 × EVEN × STB1 × OSM16.</x:v>
      </x:c>
      <x:c r="D127" s="17" t="str">
        <x:v>uart_rx_w7_even_s1_osm16_test</x:v>
      </x:c>
      <x:c r="E127" s="17" t="str">
        <x:v>Medium</x:v>
      </x:c>
      <x:c r="F127" s="17" t="str">
        <x:v>Directed</x:v>
      </x:c>
      <x:c r="G127" s="17"/>
      <x:c r="H127" s="23" t="str">
        <x:v>NY</x:v>
      </x:c>
      <x:c r="I127" s="23" t="str">
        <x:v>M3</x:v>
      </x:c>
      <x:c r="J127" s="17" t="str">
        <x:v>Spec §1.6.2 + §2.2.1/2.2.4; programmed baud = 100MHz/(54×16). EPS immaterial if PEN=0.</x:v>
      </x:c>
    </x:row>
    <x:row r="128" ht="170" customHeight="1">
      <x:c r="A128" s="22" t="str">
        <x:v>5.30</x:v>
      </x:c>
      <x:c r="B128" s="17" t="str">
        <x:v>RX 7E1 / 13×</x:v>
      </x:c>
      <x:c r="C128" s="17" t="str">
        <x:v>Objective: Verify RX frame with 7-bit even parity, 1 stop bit(s) and 13× sampling.
Setup: Reset; HCLK=100MHz; MDR=0x01, DLL=0x43, DLH=0; LCR=0x3A; baud ≈114810.6 bps.
Stimulus: UART VIP drives 0x26 (masked from 0xA6) into uart_rxd; wait RX ready; read RBR 0x01C.
Expected: RX captures one 7E1 frame; RBR[7:0]=0x26; no parity-error status for a valid frame.
Checker / PASS: UART request monitor/driver expected queue vs completed AHB RBR read; check masked byte and FIFO/event ordering; require one comparison.
Coverage: RX × WLS7 × EVEN × STB1 × OSM13.</x:v>
      </x:c>
      <x:c r="D128" s="17" t="str">
        <x:v>uart_rx_w7_even_s1_osm13_test</x:v>
      </x:c>
      <x:c r="E128" s="17" t="str">
        <x:v>Medium</x:v>
      </x:c>
      <x:c r="F128" s="17" t="str">
        <x:v>Directed</x:v>
      </x:c>
      <x:c r="G128" s="17"/>
      <x:c r="H128" s="23" t="str">
        <x:v>NY</x:v>
      </x:c>
      <x:c r="I128" s="23" t="str">
        <x:v>M3</x:v>
      </x:c>
      <x:c r="J128" s="17" t="str">
        <x:v>Spec §1.6.2 + §2.2.1/2.2.4; programmed baud = 100MHz/(67×13). EPS immaterial if PEN=0.</x:v>
      </x:c>
    </x:row>
    <x:row r="129" ht="170" customHeight="1">
      <x:c r="A129" s="22" t="str">
        <x:v>5.31</x:v>
      </x:c>
      <x:c r="B129" s="17" t="str">
        <x:v>RX 7E2 / 16×</x:v>
      </x:c>
      <x:c r="C129" s="17" t="str">
        <x:v>Objective: Verify RX frame with 7-bit even parity, 2 stop bit(s) and 16× sampling.
Setup: Reset; HCLK=100MHz; MDR=0x00, DLL=0x36, DLH=0; LCR=0x3E; baud ≈115740.7 bps.
Stimulus: UART VIP drives 0x26 (masked from 0xA6) into uart_rxd; wait RX ready; read RBR 0x01C.
Expected: RX captures one 7E2 frame; RBR[7:0]=0x26; no parity-error status for a valid frame.
Checker / PASS: UART request monitor/driver expected queue vs completed AHB RBR read; check masked byte and FIFO/event ordering; require one comparison.
Coverage: RX × WLS7 × EVEN × STB2 × OSM16.</x:v>
      </x:c>
      <x:c r="D129" s="17" t="str">
        <x:v>uart_rx_w7_even_s2_osm16_test</x:v>
      </x:c>
      <x:c r="E129" s="17" t="str">
        <x:v>Medium</x:v>
      </x:c>
      <x:c r="F129" s="17" t="str">
        <x:v>Directed</x:v>
      </x:c>
      <x:c r="G129" s="17"/>
      <x:c r="H129" s="23" t="str">
        <x:v>NY</x:v>
      </x:c>
      <x:c r="I129" s="23" t="str">
        <x:v>M3</x:v>
      </x:c>
      <x:c r="J129" s="17" t="str">
        <x:v>Spec §1.6.2 + §2.2.1/2.2.4; programmed baud = 100MHz/(54×16). EPS immaterial if PEN=0.</x:v>
      </x:c>
    </x:row>
    <x:row r="130" ht="170" customHeight="1">
      <x:c r="A130" s="22" t="str">
        <x:v>5.32</x:v>
      </x:c>
      <x:c r="B130" s="17" t="str">
        <x:v>RX 7E2 / 13×</x:v>
      </x:c>
      <x:c r="C130" s="17" t="str">
        <x:v>Objective: Verify RX frame with 7-bit even parity, 2 stop bit(s) and 13× sampling.
Setup: Reset; HCLK=100MHz; MDR=0x01, DLL=0x43, DLH=0; LCR=0x3E; baud ≈114810.6 bps.
Stimulus: UART VIP drives 0x26 (masked from 0xA6) into uart_rxd; wait RX ready; read RBR 0x01C.
Expected: RX captures one 7E2 frame; RBR[7:0]=0x26; no parity-error status for a valid frame.
Checker / PASS: UART request monitor/driver expected queue vs completed AHB RBR read; check masked byte and FIFO/event ordering; require one comparison.
Coverage: RX × WLS7 × EVEN × STB2 × OSM13.</x:v>
      </x:c>
      <x:c r="D130" s="17" t="str">
        <x:v>uart_rx_w7_even_s2_osm13_test</x:v>
      </x:c>
      <x:c r="E130" s="17" t="str">
        <x:v>Medium</x:v>
      </x:c>
      <x:c r="F130" s="17" t="str">
        <x:v>Directed</x:v>
      </x:c>
      <x:c r="G130" s="17"/>
      <x:c r="H130" s="23" t="str">
        <x:v>NY</x:v>
      </x:c>
      <x:c r="I130" s="23" t="str">
        <x:v>M3</x:v>
      </x:c>
      <x:c r="J130" s="17" t="str">
        <x:v>Spec §1.6.2 + §2.2.1/2.2.4; programmed baud = 100MHz/(67×13). EPS immaterial if PEN=0.</x:v>
      </x:c>
    </x:row>
    <x:row r="131" ht="170" customHeight="1">
      <x:c r="A131" s="22" t="str">
        <x:v>5.33</x:v>
      </x:c>
      <x:c r="B131" s="17" t="str">
        <x:v>RX 7O1 / 16×</x:v>
      </x:c>
      <x:c r="C131" s="17" t="str">
        <x:v>Objective: Verify RX frame with 7-bit odd parity, 1 stop bit(s) and 16× sampling.
Setup: Reset; HCLK=100MHz; MDR=0x00, DLL=0x36, DLH=0; LCR=0x2A; baud ≈115740.7 bps.
Stimulus: UART VIP drives 0x26 (masked from 0xA6) into uart_rxd; wait RX ready; read RBR 0x01C.
Expected: RX captures one 7O1 frame; RBR[7:0]=0x26; no parity-error status for a valid frame.
Checker / PASS: UART request monitor/driver expected queue vs completed AHB RBR read; check masked byte and FIFO/event ordering; require one comparison.
Coverage: RX × WLS7 × ODD × STB1 × OSM16.</x:v>
      </x:c>
      <x:c r="D131" s="17" t="str">
        <x:v>uart_rx_w7_odd_s1_osm16_test</x:v>
      </x:c>
      <x:c r="E131" s="17" t="str">
        <x:v>Medium</x:v>
      </x:c>
      <x:c r="F131" s="17" t="str">
        <x:v>Directed</x:v>
      </x:c>
      <x:c r="G131" s="17"/>
      <x:c r="H131" s="23" t="str">
        <x:v>NY</x:v>
      </x:c>
      <x:c r="I131" s="23" t="str">
        <x:v>M3</x:v>
      </x:c>
      <x:c r="J131" s="17" t="str">
        <x:v>Spec §1.6.2 + §2.2.1/2.2.4; programmed baud = 100MHz/(54×16). EPS immaterial if PEN=0.</x:v>
      </x:c>
    </x:row>
    <x:row r="132" ht="170" customHeight="1">
      <x:c r="A132" s="22" t="str">
        <x:v>5.34</x:v>
      </x:c>
      <x:c r="B132" s="17" t="str">
        <x:v>RX 7O1 / 13×</x:v>
      </x:c>
      <x:c r="C132" s="17" t="str">
        <x:v>Objective: Verify RX frame with 7-bit odd parity, 1 stop bit(s) and 13× sampling.
Setup: Reset; HCLK=100MHz; MDR=0x01, DLL=0x43, DLH=0; LCR=0x2A; baud ≈114810.6 bps.
Stimulus: UART VIP drives 0x26 (masked from 0xA6) into uart_rxd; wait RX ready; read RBR 0x01C.
Expected: RX captures one 7O1 frame; RBR[7:0]=0x26; no parity-error status for a valid frame.
Checker / PASS: UART request monitor/driver expected queue vs completed AHB RBR read; check masked byte and FIFO/event ordering; require one comparison.
Coverage: RX × WLS7 × ODD × STB1 × OSM13.</x:v>
      </x:c>
      <x:c r="D132" s="17" t="str">
        <x:v>uart_rx_w7_odd_s1_osm13_test</x:v>
      </x:c>
      <x:c r="E132" s="17" t="str">
        <x:v>Medium</x:v>
      </x:c>
      <x:c r="F132" s="17" t="str">
        <x:v>Directed</x:v>
      </x:c>
      <x:c r="G132" s="17"/>
      <x:c r="H132" s="23" t="str">
        <x:v>NY</x:v>
      </x:c>
      <x:c r="I132" s="23" t="str">
        <x:v>M3</x:v>
      </x:c>
      <x:c r="J132" s="17" t="str">
        <x:v>Spec §1.6.2 + §2.2.1/2.2.4; programmed baud = 100MHz/(67×13). EPS immaterial if PEN=0.</x:v>
      </x:c>
    </x:row>
    <x:row r="133" ht="170" customHeight="1">
      <x:c r="A133" s="22" t="str">
        <x:v>5.35</x:v>
      </x:c>
      <x:c r="B133" s="17" t="str">
        <x:v>RX 7O2 / 16×</x:v>
      </x:c>
      <x:c r="C133" s="17" t="str">
        <x:v>Objective: Verify RX frame with 7-bit odd parity, 2 stop bit(s) and 16× sampling.
Setup: Reset; HCLK=100MHz; MDR=0x00, DLL=0x36, DLH=0; LCR=0x2E; baud ≈115740.7 bps.
Stimulus: UART VIP drives 0x26 (masked from 0xA6) into uart_rxd; wait RX ready; read RBR 0x01C.
Expected: RX captures one 7O2 frame; RBR[7:0]=0x26; no parity-error status for a valid frame.
Checker / PASS: UART request monitor/driver expected queue vs completed AHB RBR read; check masked byte and FIFO/event ordering; require one comparison.
Coverage: RX × WLS7 × ODD × STB2 × OSM16.</x:v>
      </x:c>
      <x:c r="D133" s="17" t="str">
        <x:v>uart_rx_w7_odd_s2_osm16_test</x:v>
      </x:c>
      <x:c r="E133" s="17" t="str">
        <x:v>Medium</x:v>
      </x:c>
      <x:c r="F133" s="17" t="str">
        <x:v>Directed</x:v>
      </x:c>
      <x:c r="G133" s="17"/>
      <x:c r="H133" s="23" t="str">
        <x:v>NY</x:v>
      </x:c>
      <x:c r="I133" s="23" t="str">
        <x:v>M3</x:v>
      </x:c>
      <x:c r="J133" s="17" t="str">
        <x:v>Spec §1.6.2 + §2.2.1/2.2.4; programmed baud = 100MHz/(54×16). EPS immaterial if PEN=0.</x:v>
      </x:c>
    </x:row>
    <x:row r="134" ht="170" customHeight="1">
      <x:c r="A134" s="22" t="str">
        <x:v>5.36</x:v>
      </x:c>
      <x:c r="B134" s="17" t="str">
        <x:v>RX 7O2 / 13×</x:v>
      </x:c>
      <x:c r="C134" s="17" t="str">
        <x:v>Objective: Verify RX frame with 7-bit odd parity, 2 stop bit(s) and 13× sampling.
Setup: Reset; HCLK=100MHz; MDR=0x01, DLL=0x43, DLH=0; LCR=0x2E; baud ≈114810.6 bps.
Stimulus: UART VIP drives 0x26 (masked from 0xA6) into uart_rxd; wait RX ready; read RBR 0x01C.
Expected: RX captures one 7O2 frame; RBR[7:0]=0x26; no parity-error status for a valid frame.
Checker / PASS: UART request monitor/driver expected queue vs completed AHB RBR read; check masked byte and FIFO/event ordering; require one comparison.
Coverage: RX × WLS7 × ODD × STB2 × OSM13.</x:v>
      </x:c>
      <x:c r="D134" s="17" t="str">
        <x:v>uart_rx_w7_odd_s2_osm13_test</x:v>
      </x:c>
      <x:c r="E134" s="17" t="str">
        <x:v>Medium</x:v>
      </x:c>
      <x:c r="F134" s="17" t="str">
        <x:v>Directed</x:v>
      </x:c>
      <x:c r="G134" s="17"/>
      <x:c r="H134" s="23" t="str">
        <x:v>NY</x:v>
      </x:c>
      <x:c r="I134" s="23" t="str">
        <x:v>M3</x:v>
      </x:c>
      <x:c r="J134" s="17" t="str">
        <x:v>Spec §1.6.2 + §2.2.1/2.2.4; programmed baud = 100MHz/(67×13). EPS immaterial if PEN=0.</x:v>
      </x:c>
    </x:row>
    <x:row r="135" ht="170" customHeight="1">
      <x:c r="A135" s="22" t="str">
        <x:v>5.37</x:v>
      </x:c>
      <x:c r="B135" s="17" t="str">
        <x:v>RX 8N1 / 16×</x:v>
      </x:c>
      <x:c r="C135" s="17" t="str">
        <x:v>Objective: Verify RX frame with 8-bit none parity, 1 stop bit(s) and 16× sampling.
Setup: Reset; HCLK=100MHz; MDR=0x00, DLL=0x36, DLH=0; LCR=0x23; baud ≈115740.7 bps.
Stimulus: UART VIP drives 0xA6 (masked from 0xA6) into uart_rxd; wait RX ready; read RBR 0x01C.
Expected: RX captures one 8N1 frame; RBR[7:0]=0xA6; no parity-error status for a valid frame.
Checker / PASS: UART request monitor/driver expected queue vs completed AHB RBR read; check masked byte and FIFO/event ordering; require one comparison.
Coverage: RX × WLS8 × NONE × STB1 × OSM16.</x:v>
      </x:c>
      <x:c r="D135" s="17" t="str">
        <x:v>uart_rx_w8_none_s1_osm16_test</x:v>
      </x:c>
      <x:c r="E135" s="17" t="str">
        <x:v>High</x:v>
      </x:c>
      <x:c r="F135" s="17" t="str">
        <x:v>Directed</x:v>
      </x:c>
      <x:c r="G135" s="17"/>
      <x:c r="H135" s="23" t="str">
        <x:v>NY</x:v>
      </x:c>
      <x:c r="I135" s="23" t="str">
        <x:v>M3</x:v>
      </x:c>
      <x:c r="J135" s="17" t="str">
        <x:v>Spec §1.6.2 + §2.2.1/2.2.4; programmed baud = 100MHz/(54×16). EPS immaterial if PEN=0.</x:v>
      </x:c>
    </x:row>
    <x:row r="136" ht="170" customHeight="1">
      <x:c r="A136" s="22" t="str">
        <x:v>5.38</x:v>
      </x:c>
      <x:c r="B136" s="17" t="str">
        <x:v>RX 8N1 / 13×</x:v>
      </x:c>
      <x:c r="C136" s="17" t="str">
        <x:v>Objective: Verify RX frame with 8-bit none parity, 1 stop bit(s) and 13× sampling.
Setup: Reset; HCLK=100MHz; MDR=0x01, DLL=0x43, DLH=0; LCR=0x23; baud ≈114810.6 bps.
Stimulus: UART VIP drives 0xA6 (masked from 0xA6) into uart_rxd; wait RX ready; read RBR 0x01C.
Expected: RX captures one 8N1 frame; RBR[7:0]=0xA6; no parity-error status for a valid frame.
Checker / PASS: UART request monitor/driver expected queue vs completed AHB RBR read; check masked byte and FIFO/event ordering; require one comparison.
Coverage: RX × WLS8 × NONE × STB1 × OSM13.</x:v>
      </x:c>
      <x:c r="D136" s="17" t="str">
        <x:v>uart_rx_w8_none_s1_osm13_test</x:v>
      </x:c>
      <x:c r="E136" s="17" t="str">
        <x:v>High</x:v>
      </x:c>
      <x:c r="F136" s="17" t="str">
        <x:v>Directed</x:v>
      </x:c>
      <x:c r="G136" s="17"/>
      <x:c r="H136" s="23" t="str">
        <x:v>NY</x:v>
      </x:c>
      <x:c r="I136" s="23" t="str">
        <x:v>M3</x:v>
      </x:c>
      <x:c r="J136" s="17" t="str">
        <x:v>Spec §1.6.2 + §2.2.1/2.2.4; programmed baud = 100MHz/(67×13). EPS immaterial if PEN=0.</x:v>
      </x:c>
    </x:row>
    <x:row r="137" ht="170" customHeight="1">
      <x:c r="A137" s="22" t="str">
        <x:v>5.39</x:v>
      </x:c>
      <x:c r="B137" s="17" t="str">
        <x:v>RX 8N2 / 16×</x:v>
      </x:c>
      <x:c r="C137" s="17" t="str">
        <x:v>Objective: Verify RX frame with 8-bit none parity, 2 stop bit(s) and 16× sampling.
Setup: Reset; HCLK=100MHz; MDR=0x00, DLL=0x36, DLH=0; LCR=0x27; baud ≈115740.7 bps.
Stimulus: UART VIP drives 0xA6 (masked from 0xA6) into uart_rxd; wait RX ready; read RBR 0x01C.
Expected: RX captures one 8N2 frame; RBR[7:0]=0xA6; no parity-error status for a valid frame.
Checker / PASS: UART request monitor/driver expected queue vs completed AHB RBR read; check masked byte and FIFO/event ordering; require one comparison.
Coverage: RX × WLS8 × NONE × STB2 × OSM16.</x:v>
      </x:c>
      <x:c r="D137" s="17" t="str">
        <x:v>uart_rx_w8_none_s2_osm16_test</x:v>
      </x:c>
      <x:c r="E137" s="17" t="str">
        <x:v>Medium</x:v>
      </x:c>
      <x:c r="F137" s="17" t="str">
        <x:v>Directed</x:v>
      </x:c>
      <x:c r="G137" s="17"/>
      <x:c r="H137" s="23" t="str">
        <x:v>NY</x:v>
      </x:c>
      <x:c r="I137" s="23" t="str">
        <x:v>M3</x:v>
      </x:c>
      <x:c r="J137" s="17" t="str">
        <x:v>Spec §1.6.2 + §2.2.1/2.2.4; programmed baud = 100MHz/(54×16). EPS immaterial if PEN=0.</x:v>
      </x:c>
    </x:row>
    <x:row r="138" ht="170" customHeight="1">
      <x:c r="A138" s="22" t="str">
        <x:v>5.40</x:v>
      </x:c>
      <x:c r="B138" s="17" t="str">
        <x:v>RX 8N2 / 13×</x:v>
      </x:c>
      <x:c r="C138" s="17" t="str">
        <x:v>Objective: Verify RX frame with 8-bit none parity, 2 stop bit(s) and 13× sampling.
Setup: Reset; HCLK=100MHz; MDR=0x01, DLL=0x43, DLH=0; LCR=0x27; baud ≈114810.6 bps.
Stimulus: UART VIP drives 0xA6 (masked from 0xA6) into uart_rxd; wait RX ready; read RBR 0x01C.
Expected: RX captures one 8N2 frame; RBR[7:0]=0xA6; no parity-error status for a valid frame.
Checker / PASS: UART request monitor/driver expected queue vs completed AHB RBR read; check masked byte and FIFO/event ordering; require one comparison.
Coverage: RX × WLS8 × NONE × STB2 × OSM13.</x:v>
      </x:c>
      <x:c r="D138" s="17" t="str">
        <x:v>uart_rx_w8_none_s2_osm13_test</x:v>
      </x:c>
      <x:c r="E138" s="17" t="str">
        <x:v>Medium</x:v>
      </x:c>
      <x:c r="F138" s="17" t="str">
        <x:v>Directed</x:v>
      </x:c>
      <x:c r="G138" s="17"/>
      <x:c r="H138" s="23" t="str">
        <x:v>NY</x:v>
      </x:c>
      <x:c r="I138" s="23" t="str">
        <x:v>M3</x:v>
      </x:c>
      <x:c r="J138" s="17" t="str">
        <x:v>Spec §1.6.2 + §2.2.1/2.2.4; programmed baud = 100MHz/(67×13). EPS immaterial if PEN=0.</x:v>
      </x:c>
    </x:row>
    <x:row r="139" ht="170" customHeight="1">
      <x:c r="A139" s="22" t="str">
        <x:v>5.41</x:v>
      </x:c>
      <x:c r="B139" s="17" t="str">
        <x:v>RX 8E1 / 16×</x:v>
      </x:c>
      <x:c r="C139" s="17" t="str">
        <x:v>Objective: Verify RX frame with 8-bit even parity, 1 stop bit(s) and 16× sampling.
Setup: Reset; HCLK=100MHz; MDR=0x00, DLL=0x36, DLH=0; LCR=0x3B; baud ≈115740.7 bps.
Stimulus: UART VIP drives 0xA6 (masked from 0xA6) into uart_rxd; wait RX ready; read RBR 0x01C.
Expected: RX captures one 8E1 frame; RBR[7:0]=0xA6; no parity-error status for a valid frame.
Checker / PASS: UART request monitor/driver expected queue vs completed AHB RBR read; check masked byte and FIFO/event ordering; require one comparison.
Coverage: RX × WLS8 × EVEN × STB1 × OSM16.</x:v>
      </x:c>
      <x:c r="D139" s="17" t="str">
        <x:v>uart_rx_w8_even_s1_osm16_test</x:v>
      </x:c>
      <x:c r="E139" s="17" t="str">
        <x:v>Medium</x:v>
      </x:c>
      <x:c r="F139" s="17" t="str">
        <x:v>Directed</x:v>
      </x:c>
      <x:c r="G139" s="17"/>
      <x:c r="H139" s="23" t="str">
        <x:v>NY</x:v>
      </x:c>
      <x:c r="I139" s="23" t="str">
        <x:v>M3</x:v>
      </x:c>
      <x:c r="J139" s="17" t="str">
        <x:v>Spec §1.6.2 + §2.2.1/2.2.4; programmed baud = 100MHz/(54×16). EPS immaterial if PEN=0.</x:v>
      </x:c>
    </x:row>
    <x:row r="140" ht="170" customHeight="1">
      <x:c r="A140" s="22" t="str">
        <x:v>5.42</x:v>
      </x:c>
      <x:c r="B140" s="17" t="str">
        <x:v>RX 8E1 / 13×</x:v>
      </x:c>
      <x:c r="C140" s="17" t="str">
        <x:v>Objective: Verify RX frame with 8-bit even parity, 1 stop bit(s) and 13× sampling.
Setup: Reset; HCLK=100MHz; MDR=0x01, DLL=0x43, DLH=0; LCR=0x3B; baud ≈114810.6 bps.
Stimulus: UART VIP drives 0xA6 (masked from 0xA6) into uart_rxd; wait RX ready; read RBR 0x01C.
Expected: RX captures one 8E1 frame; RBR[7:0]=0xA6; no parity-error status for a valid frame.
Checker / PASS: UART request monitor/driver expected queue vs completed AHB RBR read; check masked byte and FIFO/event ordering; require one comparison.
Coverage: RX × WLS8 × EVEN × STB1 × OSM13.</x:v>
      </x:c>
      <x:c r="D140" s="17" t="str">
        <x:v>uart_rx_w8_even_s1_osm13_test</x:v>
      </x:c>
      <x:c r="E140" s="17" t="str">
        <x:v>Medium</x:v>
      </x:c>
      <x:c r="F140" s="17" t="str">
        <x:v>Directed</x:v>
      </x:c>
      <x:c r="G140" s="17"/>
      <x:c r="H140" s="23" t="str">
        <x:v>NY</x:v>
      </x:c>
      <x:c r="I140" s="23" t="str">
        <x:v>M3</x:v>
      </x:c>
      <x:c r="J140" s="17" t="str">
        <x:v>Spec §1.6.2 + §2.2.1/2.2.4; programmed baud = 100MHz/(67×13). EPS immaterial if PEN=0.</x:v>
      </x:c>
    </x:row>
    <x:row r="141" ht="170" customHeight="1">
      <x:c r="A141" s="22" t="str">
        <x:v>5.43</x:v>
      </x:c>
      <x:c r="B141" s="17" t="str">
        <x:v>RX 8E2 / 16×</x:v>
      </x:c>
      <x:c r="C141" s="17" t="str">
        <x:v>Objective: Verify RX frame with 8-bit even parity, 2 stop bit(s) and 16× sampling.
Setup: Reset; HCLK=100MHz; MDR=0x00, DLL=0x36, DLH=0; LCR=0x3F; baud ≈115740.7 bps.
Stimulus: UART VIP drives 0xA6 (masked from 0xA6) into uart_rxd; wait RX ready; read RBR 0x01C.
Expected: RX captures one 8E2 frame; RBR[7:0]=0xA6; no parity-error status for a valid frame.
Checker / PASS: UART request monitor/driver expected queue vs completed AHB RBR read; check masked byte and FIFO/event ordering; require one comparison.
Coverage: RX × WLS8 × EVEN × STB2 × OSM16.</x:v>
      </x:c>
      <x:c r="D141" s="17" t="str">
        <x:v>uart_rx_w8_even_s2_osm16_test</x:v>
      </x:c>
      <x:c r="E141" s="17" t="str">
        <x:v>Medium</x:v>
      </x:c>
      <x:c r="F141" s="17" t="str">
        <x:v>Directed</x:v>
      </x:c>
      <x:c r="G141" s="17"/>
      <x:c r="H141" s="23" t="str">
        <x:v>NY</x:v>
      </x:c>
      <x:c r="I141" s="23" t="str">
        <x:v>M3</x:v>
      </x:c>
      <x:c r="J141" s="17" t="str">
        <x:v>Spec §1.6.2 + §2.2.1/2.2.4; programmed baud = 100MHz/(54×16). EPS immaterial if PEN=0.</x:v>
      </x:c>
    </x:row>
    <x:row r="142" ht="170" customHeight="1">
      <x:c r="A142" s="22" t="str">
        <x:v>5.44</x:v>
      </x:c>
      <x:c r="B142" s="17" t="str">
        <x:v>RX 8E2 / 13×</x:v>
      </x:c>
      <x:c r="C142" s="17" t="str">
        <x:v>Objective: Verify RX frame with 8-bit even parity, 2 stop bit(s) and 13× sampling.
Setup: Reset; HCLK=100MHz; MDR=0x01, DLL=0x43, DLH=0; LCR=0x3F; baud ≈114810.6 bps.
Stimulus: UART VIP drives 0xA6 (masked from 0xA6) into uart_rxd; wait RX ready; read RBR 0x01C.
Expected: RX captures one 8E2 frame; RBR[7:0]=0xA6; no parity-error status for a valid frame.
Checker / PASS: UART request monitor/driver expected queue vs completed AHB RBR read; check masked byte and FIFO/event ordering; require one comparison.
Coverage: RX × WLS8 × EVEN × STB2 × OSM13.</x:v>
      </x:c>
      <x:c r="D142" s="17" t="str">
        <x:v>uart_rx_w8_even_s2_osm13_test</x:v>
      </x:c>
      <x:c r="E142" s="17" t="str">
        <x:v>Medium</x:v>
      </x:c>
      <x:c r="F142" s="17" t="str">
        <x:v>Directed</x:v>
      </x:c>
      <x:c r="G142" s="17"/>
      <x:c r="H142" s="23" t="str">
        <x:v>NY</x:v>
      </x:c>
      <x:c r="I142" s="23" t="str">
        <x:v>M3</x:v>
      </x:c>
      <x:c r="J142" s="17" t="str">
        <x:v>Spec §1.6.2 + §2.2.1/2.2.4; programmed baud = 100MHz/(67×13). EPS immaterial if PEN=0.</x:v>
      </x:c>
    </x:row>
    <x:row r="143" ht="170" customHeight="1">
      <x:c r="A143" s="22" t="str">
        <x:v>5.45</x:v>
      </x:c>
      <x:c r="B143" s="17" t="str">
        <x:v>RX 8O1 / 16×</x:v>
      </x:c>
      <x:c r="C143" s="17" t="str">
        <x:v>Objective: Verify RX frame with 8-bit odd parity, 1 stop bit(s) and 16× sampling.
Setup: Reset; HCLK=100MHz; MDR=0x00, DLL=0x36, DLH=0; LCR=0x2B; baud ≈115740.7 bps.
Stimulus: UART VIP drives 0xA6 (masked from 0xA6) into uart_rxd; wait RX ready; read RBR 0x01C.
Expected: RX captures one 8O1 frame; RBR[7:0]=0xA6; no parity-error status for a valid frame.
Checker / PASS: UART request monitor/driver expected queue vs completed AHB RBR read; check masked byte and FIFO/event ordering; require one comparison.
Coverage: RX × WLS8 × ODD × STB1 × OSM16.</x:v>
      </x:c>
      <x:c r="D143" s="17" t="str">
        <x:v>uart_rx_w8_odd_s1_osm16_test</x:v>
      </x:c>
      <x:c r="E143" s="17" t="str">
        <x:v>Medium</x:v>
      </x:c>
      <x:c r="F143" s="17" t="str">
        <x:v>Directed</x:v>
      </x:c>
      <x:c r="G143" s="17"/>
      <x:c r="H143" s="23" t="str">
        <x:v>NY</x:v>
      </x:c>
      <x:c r="I143" s="23" t="str">
        <x:v>M3</x:v>
      </x:c>
      <x:c r="J143" s="17" t="str">
        <x:v>Spec §1.6.2 + §2.2.1/2.2.4; programmed baud = 100MHz/(54×16). EPS immaterial if PEN=0.</x:v>
      </x:c>
    </x:row>
    <x:row r="144" ht="170" customHeight="1">
      <x:c r="A144" s="22" t="str">
        <x:v>5.46</x:v>
      </x:c>
      <x:c r="B144" s="17" t="str">
        <x:v>RX 8O1 / 13×</x:v>
      </x:c>
      <x:c r="C144" s="17" t="str">
        <x:v>Objective: Verify RX frame with 8-bit odd parity, 1 stop bit(s) and 13× sampling.
Setup: Reset; HCLK=100MHz; MDR=0x01, DLL=0x43, DLH=0; LCR=0x2B; baud ≈114810.6 bps.
Stimulus: UART VIP drives 0xA6 (masked from 0xA6) into uart_rxd; wait RX ready; read RBR 0x01C.
Expected: RX captures one 8O1 frame; RBR[7:0]=0xA6; no parity-error status for a valid frame.
Checker / PASS: UART request monitor/driver expected queue vs completed AHB RBR read; check masked byte and FIFO/event ordering; require one comparison.
Coverage: RX × WLS8 × ODD × STB1 × OSM13.</x:v>
      </x:c>
      <x:c r="D144" s="17" t="str">
        <x:v>uart_rx_w8_odd_s1_osm13_test</x:v>
      </x:c>
      <x:c r="E144" s="17" t="str">
        <x:v>Medium</x:v>
      </x:c>
      <x:c r="F144" s="17" t="str">
        <x:v>Directed</x:v>
      </x:c>
      <x:c r="G144" s="17"/>
      <x:c r="H144" s="23" t="str">
        <x:v>NY</x:v>
      </x:c>
      <x:c r="I144" s="23" t="str">
        <x:v>M3</x:v>
      </x:c>
      <x:c r="J144" s="17" t="str">
        <x:v>Spec §1.6.2 + §2.2.1/2.2.4; programmed baud = 100MHz/(67×13). EPS immaterial if PEN=0.</x:v>
      </x:c>
    </x:row>
    <x:row r="145" ht="170" customHeight="1">
      <x:c r="A145" s="22" t="str">
        <x:v>5.47</x:v>
      </x:c>
      <x:c r="B145" s="17" t="str">
        <x:v>RX 8O2 / 16×</x:v>
      </x:c>
      <x:c r="C145" s="17" t="str">
        <x:v>Objective: Verify RX frame with 8-bit odd parity, 2 stop bit(s) and 16× sampling.
Setup: Reset; HCLK=100MHz; MDR=0x00, DLL=0x36, DLH=0; LCR=0x2F; baud ≈115740.7 bps.
Stimulus: UART VIP drives 0xA6 (masked from 0xA6) into uart_rxd; wait RX ready; read RBR 0x01C.
Expected: RX captures one 8O2 frame; RBR[7:0]=0xA6; no parity-error status for a valid frame.
Checker / PASS: UART request monitor/driver expected queue vs completed AHB RBR read; check masked byte and FIFO/event ordering; require one comparison.
Coverage: RX × WLS8 × ODD × STB2 × OSM16.</x:v>
      </x:c>
      <x:c r="D145" s="17" t="str">
        <x:v>uart_rx_w8_odd_s2_osm16_test</x:v>
      </x:c>
      <x:c r="E145" s="17" t="str">
        <x:v>Medium</x:v>
      </x:c>
      <x:c r="F145" s="17" t="str">
        <x:v>Directed</x:v>
      </x:c>
      <x:c r="G145" s="17"/>
      <x:c r="H145" s="23" t="str">
        <x:v>NY</x:v>
      </x:c>
      <x:c r="I145" s="23" t="str">
        <x:v>M3</x:v>
      </x:c>
      <x:c r="J145" s="17" t="str">
        <x:v>Spec §1.6.2 + §2.2.1/2.2.4; programmed baud = 100MHz/(54×16). EPS immaterial if PEN=0.</x:v>
      </x:c>
    </x:row>
    <x:row r="146" ht="170" customHeight="1">
      <x:c r="A146" s="22" t="str">
        <x:v>5.48</x:v>
      </x:c>
      <x:c r="B146" s="17" t="str">
        <x:v>RX 8O2 / 13×</x:v>
      </x:c>
      <x:c r="C146" s="17" t="str">
        <x:v>Objective: Verify RX frame with 8-bit odd parity, 2 stop bit(s) and 13× sampling.
Setup: Reset; HCLK=100MHz; MDR=0x01, DLL=0x43, DLH=0; LCR=0x2F; baud ≈114810.6 bps.
Stimulus: UART VIP drives 0xA6 (masked from 0xA6) into uart_rxd; wait RX ready; read RBR 0x01C.
Expected: RX captures one 8O2 frame; RBR[7:0]=0xA6; no parity-error status for a valid frame.
Checker / PASS: UART request monitor/driver expected queue vs completed AHB RBR read; check masked byte and FIFO/event ordering; require one comparison.
Coverage: RX × WLS8 × ODD × STB2 × OSM13.</x:v>
      </x:c>
      <x:c r="D146" s="17" t="str">
        <x:v>uart_rx_w8_odd_s2_osm13_test</x:v>
      </x:c>
      <x:c r="E146" s="17" t="str">
        <x:v>Medium</x:v>
      </x:c>
      <x:c r="F146" s="17" t="str">
        <x:v>Directed</x:v>
      </x:c>
      <x:c r="G146" s="17"/>
      <x:c r="H146" s="23" t="str">
        <x:v>NY</x:v>
      </x:c>
      <x:c r="I146" s="23" t="str">
        <x:v>M3</x:v>
      </x:c>
      <x:c r="J146" s="17" t="str">
        <x:v>Spec §1.6.2 + §2.2.1/2.2.4; programmed baud = 100MHz/(67×13). EPS immaterial if PEN=0.</x:v>
      </x:c>
    </x:row>
    <x:row r="147" ht="170" customHeight="1">
      <x:c r="A147" s="22" t="str">
        <x:v>5.49</x:v>
      </x:c>
      <x:c r="B147" s="17" t="str">
        <x:v>RX all-zero pattern</x:v>
      </x:c>
      <x:c r="C147" s="17" t="str">
        <x:v>Objective: Verify valid all-zero incoming byte reaches RBR accurately.
Setup: Reset, 8N1 16×, programmed baud; RX FIFO initially empty.
Stimulus: UART VIP drives 0x00; wait for receive completion and AHB read RBR.
Expected: RBR returns 0x00, RX status updates appropriately, no parity error.
Checker / PASS: UART driven-byte expected queue vs completed AHB RBR read.
Coverage: RX zero pattern.</x:v>
      </x:c>
      <x:c r="D147" s="17" t="str">
        <x:v>uart_rx_pattern_zero_test</x:v>
      </x:c>
      <x:c r="E147" s="17" t="str">
        <x:v>High</x:v>
      </x:c>
      <x:c r="F147" s="17" t="str">
        <x:v>Directed</x:v>
      </x:c>
      <x:c r="G147" s="17"/>
      <x:c r="H147" s="23" t="str">
        <x:v>NY</x:v>
      </x:c>
      <x:c r="I147" s="23" t="str">
        <x:v>M3</x:v>
      </x:c>
      <x:c r="J147" s="17" t="str">
        <x:v>Spec §1.6.2 + §1.7.2.</x:v>
      </x:c>
    </x:row>
    <x:row r="148" ht="170" customHeight="1">
      <x:c r="A148" s="22" t="str">
        <x:v>5.50</x:v>
      </x:c>
      <x:c r="B148" s="17" t="str">
        <x:v>RX all-one pattern</x:v>
      </x:c>
      <x:c r="C148" s="17" t="str">
        <x:v>Objective: Verify 0xFF is decoded correctly even with sustained high bits.
Setup: Reset, 8N1 16×; RX FIFO initially empty.
Stimulus: UART VIP drives 0xFF; AHB read RBR after frame completion.
Expected: RBR returns 0xFF and FIFO status indicates expected transition.
Checker / PASS: UART driven byte vs completed AHB read, with timeout and no extra item.
Coverage: RX ones pattern.</x:v>
      </x:c>
      <x:c r="D148" s="17" t="str">
        <x:v>uart_rx_pattern_ff_test</x:v>
      </x:c>
      <x:c r="E148" s="17" t="str">
        <x:v>High</x:v>
      </x:c>
      <x:c r="F148" s="17" t="str">
        <x:v>Directed</x:v>
      </x:c>
      <x:c r="G148" s="17"/>
      <x:c r="H148" s="23" t="str">
        <x:v>NY</x:v>
      </x:c>
      <x:c r="I148" s="23" t="str">
        <x:v>M3</x:v>
      </x:c>
      <x:c r="J148" s="17" t="str">
        <x:v>Spec §1.6.2 + §1.7.2.</x:v>
      </x:c>
    </x:row>
    <x:row r="149" ht="170" customHeight="1">
      <x:c r="A149" s="22" t="str">
        <x:v>5.51</x:v>
      </x:c>
      <x:c r="B149" s="17" t="str">
        <x:v>RX consecutive frame ordering</x:v>
      </x:c>
      <x:c r="C149" s="17" t="str">
        <x:v>Objective: Verify RX FIFO retains accepted serial bytes in FIFO order.
Setup: Reset; 8N1 16×; RX FIFO empty and no overflow.
Stimulus: UART VIP drives 0x21,0x43,0x65,0x87 consecutively; read RBR four times.
Expected: RBR read sequence matches [0x21,0x43,0x65,0x87]; no skipped or duplicated byte.
Checker / PASS: UART driver expected queue vs AHB read monitor; wait RX ready before each read.
Coverage: RX consecutive bytes × ordering.</x:v>
      </x:c>
      <x:c r="D149" s="17" t="str">
        <x:v>uart_rx_stream_order_test</x:v>
      </x:c>
      <x:c r="E149" s="17" t="str">
        <x:v>High</x:v>
      </x:c>
      <x:c r="F149" s="17" t="str">
        <x:v>Directed</x:v>
      </x:c>
      <x:c r="G149" s="17"/>
      <x:c r="H149" s="23" t="str">
        <x:v>NY</x:v>
      </x:c>
      <x:c r="I149" s="23" t="str">
        <x:v>M3</x:v>
      </x:c>
      <x:c r="J149" s="17" t="str">
        <x:v>Spec §1.7.2 + 16-byte RX FIFO.</x:v>
      </x:c>
    </x:row>
    <x:row r="150" ht="24" customHeight="1">
      <x:c r="A150" s="27" t="n">
        <x:v>6</x:v>
      </x:c>
      <x:c r="B150" s="28" t="str">
        <x:v>FIFO Verification</x:v>
      </x:c>
      <x:c r="C150" s="28"/>
      <x:c r="D150" s="28"/>
      <x:c r="E150" s="28"/>
      <x:c r="F150" s="28"/>
      <x:c r="G150" s="28"/>
      <x:c r="H150" s="29"/>
      <x:c r="I150" s="29"/>
      <x:c r="J150" s="28"/>
    </x:row>
    <x:row r="151" ht="170" customHeight="1">
      <x:c r="A151" s="22" t="str">
        <x:v>6.01</x:v>
      </x:c>
      <x:c r="B151" s="17" t="str">
        <x:v>TX FIFO reset empty</x:v>
      </x:c>
      <x:c r="C151" s="17" t="str">
        <x:v>Objective: Verify tx fifo reset empty.
Setup: Reset DUT; BGE disabled, TX FIFO untouched.
Stimulus: Read FSR bit1 immediately following reset.
Expected: FSR.tx_empty=1 and tx_full=0.
Checker / PASS: FSR masked readback vs documented reset state.
Coverage: TX empty after reset.</x:v>
      </x:c>
      <x:c r="D151" s="17" t="str">
        <x:v>uart_fifo_tx_reset_empty_test</x:v>
      </x:c>
      <x:c r="E151" s="17" t="str">
        <x:v>High</x:v>
      </x:c>
      <x:c r="F151" s="17" t="str">
        <x:v>Directed</x:v>
      </x:c>
      <x:c r="G151" s="17"/>
      <x:c r="H151" s="23" t="str">
        <x:v>NY</x:v>
      </x:c>
      <x:c r="I151" s="23" t="str">
        <x:v>M4</x:v>
      </x:c>
      <x:c r="J151" s="17" t="str">
        <x:v>Spec §2.2.6.</x:v>
      </x:c>
    </x:row>
    <x:row r="152" ht="170" customHeight="1">
      <x:c r="A152" s="22" t="str">
        <x:v>6.02</x:v>
      </x:c>
      <x:c r="B152" s="17" t="str">
        <x:v>TX FIFO reaches full</x:v>
      </x:c>
      <x:c r="C152" s="17" t="str">
        <x:v>Objective: Verify tx fifo reaches full.
Setup: Reset; configure valid UART mode with very slow legal divisor to limit dequeue; establish FIFO empty.
Stimulus: Write TBR repeatedly while tracking accepted pushes until TX full status is observed.
Expected: FSR.tx_full=1 when 16-byte FIFO storage reaches full; no assumption about internal shift-register occupancy.
Checker / PASS: Event/occupancy model and FSR full flag; avoid assuming exactly 16 writes if transmitter has consumed one.
Coverage: TX full occupancy.</x:v>
      </x:c>
      <x:c r="D152" s="17" t="str">
        <x:v>uart_fifo_tx_full_test</x:v>
      </x:c>
      <x:c r="E152" s="17" t="str">
        <x:v>High</x:v>
      </x:c>
      <x:c r="F152" s="17" t="str">
        <x:v>Directed</x:v>
      </x:c>
      <x:c r="G152" s="17"/>
      <x:c r="H152" s="23" t="str">
        <x:v>NY</x:v>
      </x:c>
      <x:c r="I152" s="23" t="str">
        <x:v>M4</x:v>
      </x:c>
      <x:c r="J152" s="17" t="str">
        <x:v>Spec §1.2, §2.2.6; FIFO depth 16; timing-dependent consumption.</x:v>
      </x:c>
    </x:row>
    <x:row r="153" ht="170" customHeight="1">
      <x:c r="A153" s="22" t="str">
        <x:v>6.03</x:v>
      </x:c>
      <x:c r="B153" s="17" t="str">
        <x:v>TX write while full ignored</x:v>
      </x:c>
      <x:c r="C153" s="17" t="str">
        <x:v>Objective: Verify tx write while full ignored.
Setup: Produce confirmed TX full condition; valid config retained.
Stimulus: Attempt one extra TBR write while tx_full=1; drain and decode emitted data.
Expected: Extra write has no observable transmitted byte; previously queued bytes remain ordered.
Checker / PASS: Expected queue excludes write accepted at full; compare UART output; check no unexpected item.
Coverage: TX write-at-full ignored.</x:v>
      </x:c>
      <x:c r="D153" s="17" t="str">
        <x:v>uart_fifo_tx_overflow_ignore_test</x:v>
      </x:c>
      <x:c r="E153" s="17" t="str">
        <x:v>High</x:v>
      </x:c>
      <x:c r="F153" s="17" t="str">
        <x:v>Directed</x:v>
      </x:c>
      <x:c r="G153" s="17"/>
      <x:c r="H153" s="23" t="str">
        <x:v>NY</x:v>
      </x:c>
      <x:c r="I153" s="23" t="str">
        <x:v>M4</x:v>
      </x:c>
      <x:c r="J153" s="17" t="str">
        <x:v>Spec §1.7.3 explicitly says full TX write ignored.</x:v>
      </x:c>
    </x:row>
    <x:row r="154" ht="170" customHeight="1">
      <x:c r="A154" s="22" t="str">
        <x:v>6.04</x:v>
      </x:c>
      <x:c r="B154" s="17" t="str">
        <x:v>TX FIFO byte ordering</x:v>
      </x:c>
      <x:c r="C154" s="17" t="str">
        <x:v>Objective: Verify tx fifo byte ordering.
Setup: Reset; 8N1, OSM16; TX FIFO empty.
Stimulus: AHB enqueue distinguishable bytes [0x11,0x22,0x33,0x44] within capacity.
Expected: Serial output order equals AHB accepted TBR write order.
Checker / PASS: Byte scoreboard expected vs observed, assert end-of-test queue empty.
Coverage: TX FIFO ordered readout.</x:v>
      </x:c>
      <x:c r="D154" s="17" t="str">
        <x:v>uart_fifo_tx_order_test</x:v>
      </x:c>
      <x:c r="E154" s="17" t="str">
        <x:v>High</x:v>
      </x:c>
      <x:c r="F154" s="17" t="str">
        <x:v>Directed</x:v>
      </x:c>
      <x:c r="G154" s="17"/>
      <x:c r="H154" s="23" t="str">
        <x:v>NY</x:v>
      </x:c>
      <x:c r="I154" s="23" t="str">
        <x:v>M4</x:v>
      </x:c>
      <x:c r="J154" s="17" t="str">
        <x:v>Spec §1.7.1.</x:v>
      </x:c>
    </x:row>
    <x:row r="155" ht="170" customHeight="1">
      <x:c r="A155" s="22" t="str">
        <x:v>6.05</x:v>
      </x:c>
      <x:c r="B155" s="17" t="str">
        <x:v>TX FIFO empty transition</x:v>
      </x:c>
      <x:c r="C155" s="17" t="str">
        <x:v>Objective: Verify tx fifo empty transition.
Setup: Reset; enable BGE with legal divisor; TX initially empty.
Stimulus: Write one TBR byte; poll FSR while transmitting and after it drains.
Expected: tx_empty reflects TX FIFO occupancy transitions; serialized byte remains correct.
Checker / PASS: FSR observations reconciled with TX dequeue and UART output; no assumption that tx_empty implies TX idle.
Coverage: TX nonempty→empty transition.</x:v>
      </x:c>
      <x:c r="D155" s="17" t="str">
        <x:v>uart_fifo_tx_drain_empty_test</x:v>
      </x:c>
      <x:c r="E155" s="17" t="str">
        <x:v>Medium</x:v>
      </x:c>
      <x:c r="F155" s="17" t="str">
        <x:v>Directed</x:v>
      </x:c>
      <x:c r="G155" s="17"/>
      <x:c r="H155" s="23" t="str">
        <x:v>NY</x:v>
      </x:c>
      <x:c r="I155" s="23" t="str">
        <x:v>M4</x:v>
      </x:c>
      <x:c r="J155" s="17" t="str">
        <x:v>Spec §1.7.1/§2.2.6; distinguish shifter busy from FIFO empty.</x:v>
      </x:c>
    </x:row>
    <x:row r="156" ht="170" customHeight="1">
      <x:c r="A156" s="22" t="str">
        <x:v>6.06</x:v>
      </x:c>
      <x:c r="B156" s="17" t="str">
        <x:v>RX FIFO reset empty</x:v>
      </x:c>
      <x:c r="C156" s="17" t="str">
        <x:v>Objective: Verify rx fifo reset empty.
Setup: Reset; UART RX idle high; no incoming frame.
Stimulus: Read FSR bit3 before any UART RX input.
Expected: rx_empty=1 and rx_full=0.
Checker / PASS: FSR masked readback against spec reset values.
Coverage: RX empty reset.</x:v>
      </x:c>
      <x:c r="D156" s="17" t="str">
        <x:v>uart_fifo_rx_reset_empty_test</x:v>
      </x:c>
      <x:c r="E156" s="17" t="str">
        <x:v>High</x:v>
      </x:c>
      <x:c r="F156" s="17" t="str">
        <x:v>Directed</x:v>
      </x:c>
      <x:c r="G156" s="17"/>
      <x:c r="H156" s="23" t="str">
        <x:v>NY</x:v>
      </x:c>
      <x:c r="I156" s="23" t="str">
        <x:v>M4</x:v>
      </x:c>
      <x:c r="J156" s="17" t="str">
        <x:v>Spec §2.2.6.</x:v>
      </x:c>
    </x:row>
    <x:row r="157" ht="170" customHeight="1">
      <x:c r="A157" s="22" t="str">
        <x:v>6.07</x:v>
      </x:c>
      <x:c r="B157" s="17" t="str">
        <x:v>RX FIFO becomes full</x:v>
      </x:c>
      <x:c r="C157" s="17" t="str">
        <x:v>Objective: Verify rx fifo becomes full.
Setup: Reset; configure valid 8N1 RX; do not read RBR during accumulation.
Stimulus: UART VIP drives 16 valid bytes sequentially; observe FSR.
Expected: RX full flag asserts after filling FIFO to documented 16-byte capacity.
Checker / PASS: RX expected occupancy counter + FSR; verify all 16 stored bytes during controlled drain.
Coverage: RX full occupancy.</x:v>
      </x:c>
      <x:c r="D157" s="17" t="str">
        <x:v>uart_fifo_rx_full_test</x:v>
      </x:c>
      <x:c r="E157" s="17" t="str">
        <x:v>High</x:v>
      </x:c>
      <x:c r="F157" s="17" t="str">
        <x:v>Directed</x:v>
      </x:c>
      <x:c r="G157" s="17"/>
      <x:c r="H157" s="23" t="str">
        <x:v>NY</x:v>
      </x:c>
      <x:c r="I157" s="23" t="str">
        <x:v>M4</x:v>
      </x:c>
      <x:c r="J157" s="17" t="str">
        <x:v>Spec §1.2, §1.7.2.</x:v>
      </x:c>
    </x:row>
    <x:row r="158" ht="170" customHeight="1">
      <x:c r="A158" s="22" t="str">
        <x:v>6.08</x:v>
      </x:c>
      <x:c r="B158" s="17" t="str">
        <x:v>RX read from empty</x:v>
      </x:c>
      <x:c r="C158" s="17" t="str">
        <x:v>Objective: Verify rx read from empty.
Setup: Reset and confirm FSR.rx_empty=1.
Stimulus: Issue legal AHB read of RBR when FIFO empty.
Expected: Returned RBR data is undefined per spec; do not assert any fixed byte.
Checker / PASS: Check transaction completion and FSR empty state; intentionally skip data comparison.
Coverage: RX empty-read behavior.</x:v>
      </x:c>
      <x:c r="D158" s="17" t="str">
        <x:v>uart_fifo_rx_empty_read_test</x:v>
      </x:c>
      <x:c r="E158" s="17" t="str">
        <x:v>Medium</x:v>
      </x:c>
      <x:c r="F158" s="17" t="str">
        <x:v>Directed</x:v>
      </x:c>
      <x:c r="G158" s="17"/>
      <x:c r="H158" s="23" t="str">
        <x:v>NY</x:v>
      </x:c>
      <x:c r="I158" s="23" t="str">
        <x:v>M4</x:v>
      </x:c>
      <x:c r="J158" s="17" t="str">
        <x:v>Spec §1.7.3: read data undefined when RX FIFO empty.</x:v>
      </x:c>
    </x:row>
    <x:row r="159" ht="170" customHeight="1">
      <x:c r="A159" s="22" t="str">
        <x:v>6.09</x:v>
      </x:c>
      <x:c r="B159" s="17" t="str">
        <x:v>RX FIFO read ordering</x:v>
      </x:c>
      <x:c r="C159" s="17" t="str">
        <x:v>Objective: Verify rx fifo read ordering.
Setup: Reset; 8N1 16×, valid baud, RX FIFO initially empty.
Stimulus: Drive [0x13,0x37,0xAC,0xE5] and read RBR four times.
Expected: Read order equals accepted serial-frame order; status returns empty when drained.
Checker / PASS: Expected serial byte queue vs completed AHB RBR reads; check pop count.
Coverage: RX FIFO ordered reads.</x:v>
      </x:c>
      <x:c r="D159" s="17" t="str">
        <x:v>uart_fifo_rx_order_test</x:v>
      </x:c>
      <x:c r="E159" s="17" t="str">
        <x:v>High</x:v>
      </x:c>
      <x:c r="F159" s="17" t="str">
        <x:v>Directed</x:v>
      </x:c>
      <x:c r="G159" s="17"/>
      <x:c r="H159" s="23" t="str">
        <x:v>NY</x:v>
      </x:c>
      <x:c r="I159" s="23" t="str">
        <x:v>M4</x:v>
      </x:c>
      <x:c r="J159" s="17" t="str">
        <x:v>Spec §1.7.2.</x:v>
      </x:c>
    </x:row>
    <x:row r="160" ht="170" customHeight="1">
      <x:c r="A160" s="22" t="str">
        <x:v>6.10</x:v>
      </x:c>
      <x:c r="B160" s="17" t="str">
        <x:v>RX FIFO drain from full</x:v>
      </x:c>
      <x:c r="C160" s="17" t="str">
        <x:v>Objective: Verify rx fifo drain from full.
Setup: Fill RX FIFO to confirmed full and keep further incoming traffic disabled.
Stimulus: Read sixteen received bytes from RBR while sampling FSR milestones.
Expected: rx_full deasserts once space becomes available; rx_empty asserts after final queued byte.
Checker / PASS: Occupancy reference-model counter and FSR flags; compare all 16 bytes in order.
Coverage: RX full→partial→empty.</x:v>
      </x:c>
      <x:c r="D160" s="17" t="str">
        <x:v>uart_fifo_rx_full_to_empty_test</x:v>
      </x:c>
      <x:c r="E160" s="17" t="str">
        <x:v>Medium</x:v>
      </x:c>
      <x:c r="F160" s="17" t="str">
        <x:v>Directed</x:v>
      </x:c>
      <x:c r="G160" s="17"/>
      <x:c r="H160" s="23" t="str">
        <x:v>NY</x:v>
      </x:c>
      <x:c r="I160" s="23" t="str">
        <x:v>M4</x:v>
      </x:c>
      <x:c r="J160" s="17" t="str">
        <x:v>Spec §1.7.2 and FSR; do not assume unsupported overflow discard policy.</x:v>
      </x:c>
    </x:row>
    <x:row r="161" ht="24" customHeight="1">
      <x:c r="A161" s="27" t="n">
        <x:v>7</x:v>
      </x:c>
      <x:c r="B161" s="28" t="str">
        <x:v>Interrupt Verification</x:v>
      </x:c>
      <x:c r="C161" s="28"/>
      <x:c r="D161" s="28"/>
      <x:c r="E161" s="28"/>
      <x:c r="F161" s="28"/>
      <x:c r="G161" s="28"/>
      <x:c r="H161" s="29"/>
      <x:c r="I161" s="29"/>
      <x:c r="J161" s="28"/>
    </x:row>
    <x:row r="162" ht="170" customHeight="1">
      <x:c r="A162" s="22" t="str">
        <x:v>7.01</x:v>
      </x:c>
      <x:c r="B162" s="17" t="str">
        <x:v>TX FIFO full interrupt enabled</x:v>
      </x:c>
      <x:c r="C162" s="17" t="str">
        <x:v>Objective: Verify tx fifo full asserts the hard interrupt when source enabled.
Setup: Reset; all IER bits=0; Fill TX FIFO while limiting TX dequeue; confirm tx_full status; set IER.bit0=1.
Stimulus: Observe interrupt; then remove source condition or clear status where documented.
Expected: interrupt asserts for FSR.bit0=1 with IER[0]=1; deassertion tracks documented source status clearing.
Checker / PASS: AHB monitor reads IER/FSR; top interrupt pin monitor computes OR of enabled active sources.
Coverage: tx_full interrupt enable/assert/deassert.</x:v>
      </x:c>
      <x:c r="D162" s="17" t="str">
        <x:v>uart_intr_tx_full_enable_test</x:v>
      </x:c>
      <x:c r="E162" s="17" t="str">
        <x:v>High</x:v>
      </x:c>
      <x:c r="F162" s="17" t="str">
        <x:v>Directed</x:v>
      </x:c>
      <x:c r="G162" s="17"/>
      <x:c r="H162" s="23" t="str">
        <x:v>NY</x:v>
      </x:c>
      <x:c r="I162" s="23" t="str">
        <x:v>M4</x:v>
      </x:c>
      <x:c r="J162" s="17" t="str">
        <x:v>Spec §1.7.1–1.7.2 + §2.2.5–2.2.6; odd empty/full interrupt semantics are spec-defined.</x:v>
      </x:c>
    </x:row>
    <x:row r="163" ht="170" customHeight="1">
      <x:c r="A163" s="22" t="str">
        <x:v>7.02</x:v>
      </x:c>
      <x:c r="B163" s="17" t="str">
        <x:v>TX FIFO full interrupt masked</x:v>
      </x:c>
      <x:c r="C163" s="17" t="str">
        <x:v>Objective: Verify active tx fifo full status does not assert interrupt when disabled.
Setup: Reset; all IER bits=0; Fill TX FIFO while limiting TX dequeue; confirm tx_full status; leave IER.bit0=0.
Stimulus: Observe interrupt with all other sources disabled while the target status remains active.
Expected: interrupt=0 despite FSR.bit0=1 because IER[0]=0.
Checker / PASS: Compare enabled-mask source OR to interrupt pin; check no other enabled sources.
Coverage: tx_full source status × masked.</x:v>
      </x:c>
      <x:c r="D163" s="17" t="str">
        <x:v>uart_intr_tx_full_mask_test</x:v>
      </x:c>
      <x:c r="E163" s="17" t="str">
        <x:v>Medium</x:v>
      </x:c>
      <x:c r="F163" s="17" t="str">
        <x:v>Directed</x:v>
      </x:c>
      <x:c r="G163" s="17"/>
      <x:c r="H163" s="23" t="str">
        <x:v>NY</x:v>
      </x:c>
      <x:c r="I163" s="23" t="str">
        <x:v>M4</x:v>
      </x:c>
      <x:c r="J163" s="17" t="str">
        <x:v>Spec §2.2.5; source generation independent of interrupt-enable bit.</x:v>
      </x:c>
    </x:row>
    <x:row r="164" ht="170" customHeight="1">
      <x:c r="A164" s="22" t="str">
        <x:v>7.03</x:v>
      </x:c>
      <x:c r="B164" s="17" t="str">
        <x:v>TX FIFO empty interrupt enabled</x:v>
      </x:c>
      <x:c r="C164" s="17" t="str">
        <x:v>Objective: Verify tx fifo empty asserts the hard interrupt when source enabled.
Setup: Reset; all IER bits=0; Reset and confirm TX FIFO empty; set IER.bit1=1.
Stimulus: Observe interrupt; then remove source condition or clear status where documented.
Expected: interrupt asserts for FSR.bit1=1 with IER[1]=1; deassertion tracks documented source status clearing.
Checker / PASS: AHB monitor reads IER/FSR; top interrupt pin monitor computes OR of enabled active sources.
Coverage: tx_empty interrupt enable/assert/deassert.</x:v>
      </x:c>
      <x:c r="D164" s="17" t="str">
        <x:v>uart_intr_tx_empty_enable_test</x:v>
      </x:c>
      <x:c r="E164" s="17" t="str">
        <x:v>High</x:v>
      </x:c>
      <x:c r="F164" s="17" t="str">
        <x:v>Directed</x:v>
      </x:c>
      <x:c r="G164" s="17"/>
      <x:c r="H164" s="23" t="str">
        <x:v>NY</x:v>
      </x:c>
      <x:c r="I164" s="23" t="str">
        <x:v>M4</x:v>
      </x:c>
      <x:c r="J164" s="17" t="str">
        <x:v>Spec §1.7.1–1.7.2 + §2.2.5–2.2.6; odd empty/full interrupt semantics are spec-defined.</x:v>
      </x:c>
    </x:row>
    <x:row r="165" ht="170" customHeight="1">
      <x:c r="A165" s="22" t="str">
        <x:v>7.04</x:v>
      </x:c>
      <x:c r="B165" s="17" t="str">
        <x:v>TX FIFO empty interrupt masked</x:v>
      </x:c>
      <x:c r="C165" s="17" t="str">
        <x:v>Objective: Verify active tx fifo empty status does not assert interrupt when disabled.
Setup: Reset; all IER bits=0; Reset and confirm TX FIFO empty; leave IER.bit1=0.
Stimulus: Observe interrupt with all other sources disabled while the target status remains active.
Expected: interrupt=0 despite FSR.bit1=1 because IER[1]=0.
Checker / PASS: Compare enabled-mask source OR to interrupt pin; check no other enabled sources.
Coverage: tx_empty source status × masked.</x:v>
      </x:c>
      <x:c r="D165" s="17" t="str">
        <x:v>uart_intr_tx_empty_mask_test</x:v>
      </x:c>
      <x:c r="E165" s="17" t="str">
        <x:v>Medium</x:v>
      </x:c>
      <x:c r="F165" s="17" t="str">
        <x:v>Directed</x:v>
      </x:c>
      <x:c r="G165" s="17"/>
      <x:c r="H165" s="23" t="str">
        <x:v>NY</x:v>
      </x:c>
      <x:c r="I165" s="23" t="str">
        <x:v>M4</x:v>
      </x:c>
      <x:c r="J165" s="17" t="str">
        <x:v>Spec §2.2.5; source generation independent of interrupt-enable bit.</x:v>
      </x:c>
    </x:row>
    <x:row r="166" ht="170" customHeight="1">
      <x:c r="A166" s="22" t="str">
        <x:v>7.05</x:v>
      </x:c>
      <x:c r="B166" s="17" t="str">
        <x:v>RX FIFO full interrupt enabled</x:v>
      </x:c>
      <x:c r="C166" s="17" t="str">
        <x:v>Objective: Verify rx fifo full asserts the hard interrupt when source enabled.
Setup: Reset; all IER bits=0; Drive 16 RX bytes without draining; confirm RX FIFO full; set IER.bit2=1.
Stimulus: Observe interrupt; then remove source condition or clear status where documented.
Expected: interrupt asserts for FSR.bit2=1 with IER[2]=1; deassertion tracks documented source status clearing.
Checker / PASS: AHB monitor reads IER/FSR; top interrupt pin monitor computes OR of enabled active sources.
Coverage: rx_full interrupt enable/assert/deassert.</x:v>
      </x:c>
      <x:c r="D166" s="17" t="str">
        <x:v>uart_intr_rx_full_enable_test</x:v>
      </x:c>
      <x:c r="E166" s="17" t="str">
        <x:v>High</x:v>
      </x:c>
      <x:c r="F166" s="17" t="str">
        <x:v>Directed</x:v>
      </x:c>
      <x:c r="G166" s="17"/>
      <x:c r="H166" s="23" t="str">
        <x:v>NY</x:v>
      </x:c>
      <x:c r="I166" s="23" t="str">
        <x:v>M4</x:v>
      </x:c>
      <x:c r="J166" s="17" t="str">
        <x:v>Spec §1.7.1–1.7.2 + §2.2.5–2.2.6; odd empty/full interrupt semantics are spec-defined.</x:v>
      </x:c>
    </x:row>
    <x:row r="167" ht="170" customHeight="1">
      <x:c r="A167" s="22" t="str">
        <x:v>7.06</x:v>
      </x:c>
      <x:c r="B167" s="17" t="str">
        <x:v>RX FIFO full interrupt masked</x:v>
      </x:c>
      <x:c r="C167" s="17" t="str">
        <x:v>Objective: Verify active rx fifo full status does not assert interrupt when disabled.
Setup: Reset; all IER bits=0; Drive 16 RX bytes without draining; confirm RX FIFO full; leave IER.bit2=0.
Stimulus: Observe interrupt with all other sources disabled while the target status remains active.
Expected: interrupt=0 despite FSR.bit2=1 because IER[2]=0.
Checker / PASS: Compare enabled-mask source OR to interrupt pin; check no other enabled sources.
Coverage: rx_full source status × masked.</x:v>
      </x:c>
      <x:c r="D167" s="17" t="str">
        <x:v>uart_intr_rx_full_mask_test</x:v>
      </x:c>
      <x:c r="E167" s="17" t="str">
        <x:v>Medium</x:v>
      </x:c>
      <x:c r="F167" s="17" t="str">
        <x:v>Directed</x:v>
      </x:c>
      <x:c r="G167" s="17"/>
      <x:c r="H167" s="23" t="str">
        <x:v>NY</x:v>
      </x:c>
      <x:c r="I167" s="23" t="str">
        <x:v>M4</x:v>
      </x:c>
      <x:c r="J167" s="17" t="str">
        <x:v>Spec §2.2.5; source generation independent of interrupt-enable bit.</x:v>
      </x:c>
    </x:row>
    <x:row r="168" ht="170" customHeight="1">
      <x:c r="A168" s="22" t="str">
        <x:v>7.07</x:v>
      </x:c>
      <x:c r="B168" s="17" t="str">
        <x:v>RX FIFO empty interrupt enabled</x:v>
      </x:c>
      <x:c r="C168" s="17" t="str">
        <x:v>Objective: Verify rx fifo empty asserts the hard interrupt when source enabled.
Setup: Reset; all IER bits=0; Reset and confirm RX FIFO empty; set IER.bit3=1.
Stimulus: Observe interrupt; then remove source condition or clear status where documented.
Expected: interrupt asserts for FSR.bit3=1 with IER[3]=1; deassertion tracks documented source status clearing.
Checker / PASS: AHB monitor reads IER/FSR; top interrupt pin monitor computes OR of enabled active sources.
Coverage: rx_empty interrupt enable/assert/deassert.</x:v>
      </x:c>
      <x:c r="D168" s="17" t="str">
        <x:v>uart_intr_rx_empty_enable_test</x:v>
      </x:c>
      <x:c r="E168" s="17" t="str">
        <x:v>High</x:v>
      </x:c>
      <x:c r="F168" s="17" t="str">
        <x:v>Directed</x:v>
      </x:c>
      <x:c r="G168" s="17"/>
      <x:c r="H168" s="23" t="str">
        <x:v>NY</x:v>
      </x:c>
      <x:c r="I168" s="23" t="str">
        <x:v>M4</x:v>
      </x:c>
      <x:c r="J168" s="17" t="str">
        <x:v>Spec §1.7.1–1.7.2 + §2.2.5–2.2.6; odd empty/full interrupt semantics are spec-defined.</x:v>
      </x:c>
    </x:row>
    <x:row r="169" ht="170" customHeight="1">
      <x:c r="A169" s="22" t="str">
        <x:v>7.08</x:v>
      </x:c>
      <x:c r="B169" s="17" t="str">
        <x:v>RX FIFO empty interrupt masked</x:v>
      </x:c>
      <x:c r="C169" s="17" t="str">
        <x:v>Objective: Verify active rx fifo empty status does not assert interrupt when disabled.
Setup: Reset; all IER bits=0; Reset and confirm RX FIFO empty; leave IER.bit3=0.
Stimulus: Observe interrupt with all other sources disabled while the target status remains active.
Expected: interrupt=0 despite FSR.bit3=1 because IER[3]=0.
Checker / PASS: Compare enabled-mask source OR to interrupt pin; check no other enabled sources.
Coverage: rx_empty source status × masked.</x:v>
      </x:c>
      <x:c r="D169" s="17" t="str">
        <x:v>uart_intr_rx_empty_mask_test</x:v>
      </x:c>
      <x:c r="E169" s="17" t="str">
        <x:v>Medium</x:v>
      </x:c>
      <x:c r="F169" s="17" t="str">
        <x:v>Directed</x:v>
      </x:c>
      <x:c r="G169" s="17"/>
      <x:c r="H169" s="23" t="str">
        <x:v>NY</x:v>
      </x:c>
      <x:c r="I169" s="23" t="str">
        <x:v>M4</x:v>
      </x:c>
      <x:c r="J169" s="17" t="str">
        <x:v>Spec §2.2.5; source generation independent of interrupt-enable bit.</x:v>
      </x:c>
    </x:row>
    <x:row r="170" ht="170" customHeight="1">
      <x:c r="A170" s="22" t="str">
        <x:v>7.09</x:v>
      </x:c>
      <x:c r="B170" s="17" t="str">
        <x:v>Parity error interrupt enabled</x:v>
      </x:c>
      <x:c r="C170" s="17" t="str">
        <x:v>Objective: Verify parity error asserts the hard interrupt when source enabled.
Setup: Reset; all IER bits=0; Configure parity-enabled UART RX, inject a bad parity frame; confirm parity status; set IER.bit4=1.
Stimulus: Observe interrupt; then remove source condition or clear status where documented.
Expected: interrupt asserts for FSR.bit4=1 with IER[4]=1; deassertion tracks documented source status clearing.
Checker / PASS: AHB monitor reads IER/FSR; top interrupt pin monitor computes OR of enabled active sources.
Coverage: parity_error interrupt enable/assert/deassert.</x:v>
      </x:c>
      <x:c r="D170" s="17" t="str">
        <x:v>uart_intr_parity_error_enable_test</x:v>
      </x:c>
      <x:c r="E170" s="17" t="str">
        <x:v>High</x:v>
      </x:c>
      <x:c r="F170" s="17" t="str">
        <x:v>Directed</x:v>
      </x:c>
      <x:c r="G170" s="17"/>
      <x:c r="H170" s="23" t="str">
        <x:v>NY</x:v>
      </x:c>
      <x:c r="I170" s="23" t="str">
        <x:v>M4</x:v>
      </x:c>
      <x:c r="J170" s="17" t="str">
        <x:v>Spec §1.7.1–1.7.2 + §2.2.5–2.2.6; odd empty/full interrupt semantics are spec-defined.</x:v>
      </x:c>
    </x:row>
    <x:row r="171" ht="170" customHeight="1">
      <x:c r="A171" s="22" t="str">
        <x:v>7.10</x:v>
      </x:c>
      <x:c r="B171" s="17" t="str">
        <x:v>Parity error interrupt masked</x:v>
      </x:c>
      <x:c r="C171" s="17" t="str">
        <x:v>Objective: Verify active parity error status does not assert interrupt when disabled.
Setup: Reset; all IER bits=0; Configure parity-enabled UART RX, inject a bad parity frame; confirm parity status; leave IER.bit4=0.
Stimulus: Observe interrupt with all other sources disabled while the target status remains active.
Expected: interrupt=0 despite FSR.bit4=1 because IER[4]=0.
Checker / PASS: Compare enabled-mask source OR to interrupt pin; check no other enabled sources.
Coverage: parity_error source status × masked.</x:v>
      </x:c>
      <x:c r="D171" s="17" t="str">
        <x:v>uart_intr_parity_error_mask_test</x:v>
      </x:c>
      <x:c r="E171" s="17" t="str">
        <x:v>Medium</x:v>
      </x:c>
      <x:c r="F171" s="17" t="str">
        <x:v>Directed</x:v>
      </x:c>
      <x:c r="G171" s="17"/>
      <x:c r="H171" s="23" t="str">
        <x:v>NY</x:v>
      </x:c>
      <x:c r="I171" s="23" t="str">
        <x:v>M4</x:v>
      </x:c>
      <x:c r="J171" s="17" t="str">
        <x:v>Spec §2.2.5; source generation independent of interrupt-enable bit.</x:v>
      </x:c>
    </x:row>
    <x:row r="172" ht="24" customHeight="1">
      <x:c r="A172" s="27" t="n">
        <x:v>8</x:v>
      </x:c>
      <x:c r="B172" s="28" t="str">
        <x:v>Parity Error Verification</x:v>
      </x:c>
      <x:c r="C172" s="28"/>
      <x:c r="D172" s="28"/>
      <x:c r="E172" s="28"/>
      <x:c r="F172" s="28"/>
      <x:c r="G172" s="28"/>
      <x:c r="H172" s="29"/>
      <x:c r="I172" s="29"/>
      <x:c r="J172" s="28"/>
    </x:row>
    <x:row r="173" ht="170" customHeight="1">
      <x:c r="A173" s="22" t="str">
        <x:v>8.01</x:v>
      </x:c>
      <x:c r="B173" s="17" t="str">
        <x:v>Even parity mismatch detection</x:v>
      </x:c>
      <x:c r="C173" s="17" t="str">
        <x:v>Objective: Verify parity mismatch in even-parity RX raises FSR parity error.
Setup: Reset; 8E1, 16×; configure LCR.PEN=1, EPS=1.
Stimulus: Drive one frame with inverted correct even-parity bit; read FSR.
Expected: FSR.parrity_error_status=1 after received parity mismatch.
Checker / PASS: UART input error is expected; FSR bit4 compared; data retention policy not assumed.
Coverage: Even parity mismatch.</x:v>
      </x:c>
      <x:c r="D173" s="17" t="str">
        <x:v>uart_parity_even_inject_test</x:v>
      </x:c>
      <x:c r="E173" s="17" t="str">
        <x:v>High</x:v>
      </x:c>
      <x:c r="F173" s="17" t="str">
        <x:v>Directed</x:v>
      </x:c>
      <x:c r="G173" s="17"/>
      <x:c r="H173" s="23" t="str">
        <x:v>NY</x:v>
      </x:c>
      <x:c r="I173" s="23" t="str">
        <x:v>M4</x:v>
      </x:c>
      <x:c r="J173" s="17" t="str">
        <x:v>Spec §1.2 parity check and §2.2.6; must not count intentional bad input as unexpected UVM_ERROR.</x:v>
      </x:c>
    </x:row>
    <x:row r="174" ht="170" customHeight="1">
      <x:c r="A174" s="22" t="str">
        <x:v>8.02</x:v>
      </x:c>
      <x:c r="B174" s="17" t="str">
        <x:v>Odd parity mismatch detection</x:v>
      </x:c>
      <x:c r="C174" s="17" t="str">
        <x:v>Objective: Verify parity mismatch in odd-parity RX raises FSR parity error.
Setup: Reset; 8O1, 16×; configure LCR.PEN=1, EPS=0.
Stimulus: Inject one UART frame with wrong odd parity; read FSR.
Expected: FSR bit4 asserts due to mismatch.
Checker / PASS: UART monitor and FSR bit4; expected-error handling must be scoped to this test.
Coverage: Odd parity mismatch.</x:v>
      </x:c>
      <x:c r="D174" s="17" t="str">
        <x:v>uart_parity_odd_inject_test</x:v>
      </x:c>
      <x:c r="E174" s="17" t="str">
        <x:v>High</x:v>
      </x:c>
      <x:c r="F174" s="17" t="str">
        <x:v>Directed</x:v>
      </x:c>
      <x:c r="G174" s="17"/>
      <x:c r="H174" s="23" t="str">
        <x:v>NY</x:v>
      </x:c>
      <x:c r="I174" s="23" t="str">
        <x:v>M4</x:v>
      </x:c>
      <x:c r="J174" s="17" t="str">
        <x:v>Spec §1.2 and §2.2.6.</x:v>
      </x:c>
    </x:row>
    <x:row r="175" ht="170" customHeight="1">
      <x:c r="A175" s="22" t="str">
        <x:v>8.03</x:v>
      </x:c>
      <x:c r="B175" s="17" t="str">
        <x:v>Parity-error status sticky until W1C</x:v>
      </x:c>
      <x:c r="C175" s="17" t="str">
        <x:v>Objective: Verify captured parity error remains set until software clears it.
Setup: Reset; parity enabled; inject bad parity RX frame and verify FSR bit4 high.
Stimulus: Send later valid frame, read FSR again without W1C write.
Expected: FSR bit4 remains latched if specified W1C status semantics apply; if RTL differs, report discrepancy.
Checker / PASS: FSR bit4 checker; isolate to no new errors and document uncertainty.
Coverage: Sticky parity-error flag.</x:v>
      </x:c>
      <x:c r="D175" s="17" t="str">
        <x:v>uart_parity_sticky_status_test</x:v>
      </x:c>
      <x:c r="E175" s="17" t="str">
        <x:v>Medium</x:v>
      </x:c>
      <x:c r="F175" s="17" t="str">
        <x:v>Directed</x:v>
      </x:c>
      <x:c r="G175" s="17"/>
      <x:c r="H175" s="23" t="str">
        <x:v>NY</x:v>
      </x:c>
      <x:c r="I175" s="23" t="str">
        <x:v>M4</x:v>
      </x:c>
      <x:c r="J175" s="17" t="str">
        <x:v>Derived from R/W1C field semantics §2.1/§2.2.6, not an explicit temporal persistence guarantee.</x:v>
      </x:c>
    </x:row>
    <x:row r="176" ht="170" customHeight="1">
      <x:c r="A176" s="22" t="str">
        <x:v>8.04</x:v>
      </x:c>
      <x:c r="B176" s="17" t="str">
        <x:v>Parity error clear and reassert</x:v>
      </x:c>
      <x:c r="C176" s="17" t="str">
        <x:v>Objective: Verify parity status reasserts after a new bad frame following W1C clear.
Setup: Create parity error status bit4=1; write one to bit4 and confirm cleared.
Stimulus: Inject a different bad parity frame and read FSR.
Expected: Bit4 reasserts for new mismatch; writing 0 leaves it intact.
Checker / PASS: FSR status model with clear/reassert transitions; scoreboard ensures fresh UART event.
Coverage: W1C clear/reassert.</x:v>
      </x:c>
      <x:c r="D176" s="17" t="str">
        <x:v>uart_parity_w1c_reassert_test</x:v>
      </x:c>
      <x:c r="E176" s="17" t="str">
        <x:v>High</x:v>
      </x:c>
      <x:c r="F176" s="17" t="str">
        <x:v>Directed</x:v>
      </x:c>
      <x:c r="G176" s="17"/>
      <x:c r="H176" s="23" t="str">
        <x:v>NY</x:v>
      </x:c>
      <x:c r="I176" s="23" t="str">
        <x:v>M4</x:v>
      </x:c>
      <x:c r="J176" s="17" t="str">
        <x:v>Spec §2.2.6; separate from simple W1C register check.</x:v>
      </x:c>
    </x:row>
    <x:row r="177" ht="170" customHeight="1">
      <x:c r="A177" s="22" t="str">
        <x:v>8.05</x:v>
      </x:c>
      <x:c r="B177" s="17" t="str">
        <x:v>Parity disabled ignores EPS</x:v>
      </x:c>
      <x:c r="C177" s="17" t="str">
        <x:v>Objective: Verify EPS selection does not introduce parity checking while PEN=0.
Setup: Reset; configure 8N1 with PEN=0; first EPS=0, then EPS=1 between idle frames.
Stimulus: Drive otherwise identical 8N1 frames without parity bits in each EPS setting.
Expected: Both bytes are received correctly and parity-error status remains clear.
Checker / PASS: Compare independent RBR reads to transmitted bytes; FSR bit4 stays zero.
Coverage: PEN=0 × EPS0/EPS1.</x:v>
      </x:c>
      <x:c r="D177" s="17" t="str">
        <x:v>uart_parity_disabled_eps_test</x:v>
      </x:c>
      <x:c r="E177" s="17" t="str">
        <x:v>Medium</x:v>
      </x:c>
      <x:c r="F177" s="17" t="str">
        <x:v>Directed</x:v>
      </x:c>
      <x:c r="G177" s="17"/>
      <x:c r="H177" s="23" t="str">
        <x:v>NY</x:v>
      </x:c>
      <x:c r="I177" s="23" t="str">
        <x:v>M4</x:v>
      </x:c>
      <x:c r="J177" s="17" t="str">
        <x:v>Spec §2.2.4 says EPS only relevant when PEN=1; two EPS settings are one no-parity mode.</x:v>
      </x:c>
    </x:row>
    <x:row r="178" ht="24" customHeight="1">
      <x:c r="A178" s="27" t="n">
        <x:v>9</x:v>
      </x:c>
      <x:c r="B178" s="28" t="str">
        <x:v>Concurrent TX/RX (Derived / Optional)</x:v>
      </x:c>
      <x:c r="C178" s="28"/>
      <x:c r="D178" s="28"/>
      <x:c r="E178" s="28"/>
      <x:c r="F178" s="28"/>
      <x:c r="G178" s="28"/>
      <x:c r="H178" s="29"/>
      <x:c r="I178" s="29"/>
      <x:c r="J178" s="28"/>
    </x:row>
    <x:row r="179" ht="228" customHeight="1">
      <x:c r="A179" s="22" t="str">
        <x:v>9.01</x:v>
      </x:c>
      <x:c r="B179" s="17" t="str">
        <x:v>Full-duplex simultaneous start</x:v>
      </x:c>
      <x:c r="C179" s="17" t="str">
        <x:v>Objective: Explore concurrent TX and RX frame handling under shared 8N1 configuration.
Setup: Derived/pending confirmation; reset; MDR=16×, LCR=0x23; distinct TX and RX payloads.
Stimulus: At overlapping start time write TBR=0x55 and concurrently drive uart_rxd=0xA6.
Expected: If concurrency is supported, UART TX=0x55 and AHB RBR=0xA6 independently, no cross-direction data corruption.
Checker / PASS: Two separate expected queues and monitors; PASS only if BOTH directions compare; otherwise log clarification.
Coverage: TX/RX overlap simultaneous.</x:v>
      </x:c>
      <x:c r="D179" s="17" t="str">
        <x:v>uart_duplex_simultaneous_test</x:v>
      </x:c>
      <x:c r="E179" s="17" t="str">
        <x:v>Low</x:v>
      </x:c>
      <x:c r="F179" s="17" t="str">
        <x:v>Directed</x:v>
      </x:c>
      <x:c r="G179" s="17"/>
      <x:c r="H179" s="23" t="str">
        <x:v>NY</x:v>
      </x:c>
      <x:c r="I179" s="23" t="str">
        <x:v>M5</x:v>
      </x:c>
      <x:c r="J179" s="17" t="str">
        <x:v>Derived architectural scenario, NOT explicitly guaranteed by spec. Spec §1.3, §1.4.2, §1.7 (separate TX/RX paths/FIFOs); confirm concurrent operation with instructor.</x:v>
      </x:c>
    </x:row>
    <x:row r="180" ht="228" customHeight="1">
      <x:c r="A180" s="22" t="str">
        <x:v>9.02</x:v>
      </x:c>
      <x:c r="B180" s="17" t="str">
        <x:v>Full-duplex RX starts during TX</x:v>
      </x:c>
      <x:c r="C180" s="17" t="str">
        <x:v>Objective: Explore RX reception when independent TX frame is already in progress.
Setup: Derived/pending confirmation; common UART 7E2, 13×; RX and TX payloads differ.
Stimulus: Write TBR=0x53; after TX starts drive valid UART RX 0x26; later read RBR.
Expected: If supported, serialized TX byte and received RBR byte both match independently.
Checker / PASS: Confirm measured frame intervals overlap; dual scoreboard comparisons; no RX loss.
Coverage: TX-running × RX-start timing.</x:v>
      </x:c>
      <x:c r="D180" s="17" t="str">
        <x:v>uart_duplex_rx_during_tx_test</x:v>
      </x:c>
      <x:c r="E180" s="17" t="str">
        <x:v>Low</x:v>
      </x:c>
      <x:c r="F180" s="17" t="str">
        <x:v>Directed</x:v>
      </x:c>
      <x:c r="G180" s="17"/>
      <x:c r="H180" s="23" t="str">
        <x:v>NY</x:v>
      </x:c>
      <x:c r="I180" s="23" t="str">
        <x:v>M5</x:v>
      </x:c>
      <x:c r="J180" s="17" t="str">
        <x:v>Derived architectural scenario, NOT explicitly guaranteed by spec. Spec §1.3, §1.4.2, §1.7 (separate TX/RX paths/FIFOs); confirm concurrent operation with instructor.</x:v>
      </x:c>
    </x:row>
    <x:row r="181" ht="228" customHeight="1">
      <x:c r="A181" s="22" t="str">
        <x:v>9.03</x:v>
      </x:c>
      <x:c r="B181" s="17" t="str">
        <x:v>Full-duplex TX starts during RX</x:v>
      </x:c>
      <x:c r="C181" s="17" t="str">
        <x:v>Objective: Explore TX transmission while receiver is sampling a valid input frame.
Setup: Derived/pending confirmation; common UART 8O1, 16×; separate TX and RX data.
Stimulus: Drive uart_rxd=0x96 first; while RX active, AHB write TBR=0x69.
Expected: If supported, TX serial output=0x69 and RX RBR=0x96 without cross-mixing.
Checker / PASS: Overlap monitor + independent TX and RX scoreboards; both streams must complete.
Coverage: RX-running × TX-start timing.</x:v>
      </x:c>
      <x:c r="D181" s="17" t="str">
        <x:v>uart_duplex_tx_during_rx_test</x:v>
      </x:c>
      <x:c r="E181" s="17" t="str">
        <x:v>Low</x:v>
      </x:c>
      <x:c r="F181" s="17" t="str">
        <x:v>Directed</x:v>
      </x:c>
      <x:c r="G181" s="17"/>
      <x:c r="H181" s="23" t="str">
        <x:v>NY</x:v>
      </x:c>
      <x:c r="I181" s="23" t="str">
        <x:v>M5</x:v>
      </x:c>
      <x:c r="J181" s="17" t="str">
        <x:v>Derived architectural scenario, NOT explicitly guaranteed by spec. Spec §1.3, §1.4.2, §1.7 (separate TX/RX paths/FIFOs); confirm concurrent operation with instructor.</x:v>
      </x:c>
    </x:row>
    <x:row r="182" ht="14.25" customHeight="1"/>
    <x:row r="183" ht="14.25" customHeight="1"/>
    <x:row r="184" ht="14.25" customHeight="1"/>
    <x:row r="185" ht="14.25" customHeight="1"/>
    <x:row r="186" ht="14.25" customHeight="1"/>
    <x:row r="187" ht="14.25" customHeight="1"/>
    <x:row r="188" ht="14.25" customHeight="1"/>
    <x:row r="189" ht="14.25" customHeight="1"/>
    <x:row r="190" ht="14.25" customHeight="1"/>
    <x:row r="191" ht="14.25" customHeight="1"/>
    <x:row r="192" ht="14.25" customHeight="1"/>
    <x:row r="193" ht="14.25" customHeight="1"/>
    <x:row r="194" ht="14.25" customHeight="1"/>
    <x:row r="195" ht="14.25" customHeight="1"/>
    <x:row r="196" ht="14.25" customHeight="1"/>
    <x:row r="197" ht="14.25" customHeight="1"/>
    <x:row r="198" ht="14.25" customHeight="1"/>
    <x:row r="199" ht="14.25" customHeight="1"/>
    <x:row r="200" ht="14.25" customHeight="1"/>
    <x:row r="201" ht="14.25" customHeight="1"/>
    <x:row r="202" ht="14.25" customHeight="1"/>
    <x:row r="203" ht="14.25" customHeight="1"/>
    <x:row r="204" ht="14.25" customHeight="1"/>
    <x:row r="205" ht="14.25" customHeight="1"/>
    <x:row r="206" ht="14.25" customHeight="1"/>
    <x:row r="207" ht="14.25" customHeight="1"/>
    <x:row r="208" ht="14.25" customHeight="1"/>
    <x:row r="209" ht="14.25" customHeight="1"/>
    <x:row r="210" ht="14.25" customHeight="1"/>
    <x:row r="211" ht="14.25" customHeight="1"/>
    <x:row r="212" ht="14.25" customHeight="1"/>
    <x:row r="213" ht="14.25" customHeight="1"/>
    <x:row r="214" ht="14.25" customHeight="1"/>
    <x:row r="215" ht="14.25" customHeight="1"/>
    <x:row r="216" ht="14.25" customHeight="1"/>
    <x:row r="217" ht="14.25" customHeight="1"/>
    <x:row r="218" ht="14.25" customHeight="1"/>
    <x:row r="219" ht="14.25" customHeight="1"/>
    <x:row r="220" ht="14.25" customHeight="1"/>
    <x:row r="221" ht="14.25" customHeight="1"/>
    <x:row r="222" ht="14.25" customHeight="1"/>
    <x:row r="223" ht="14.25" customHeight="1"/>
    <x:row r="224" ht="14.25" customHeight="1"/>
    <x:row r="225" ht="14.25" customHeight="1"/>
    <x:row r="226" ht="14.25" customHeight="1"/>
    <x:row r="227" ht="14.25" customHeight="1"/>
    <x:row r="228" ht="14.25" customHeight="1"/>
    <x:row r="229" ht="14.25" customHeight="1"/>
    <x:row r="230" ht="14.25" customHeight="1"/>
    <x:row r="231" ht="14.25" customHeight="1"/>
    <x:row r="232" ht="14.25" customHeight="1"/>
    <x:row r="233" ht="14.25" customHeight="1"/>
    <x:row r="234" ht="14.25" customHeight="1"/>
    <x:row r="235" ht="14.25" customHeight="1"/>
    <x:row r="236" ht="14.25" customHeight="1"/>
    <x:row r="237" ht="14.25" customHeight="1"/>
    <x:row r="238" ht="14.25" customHeight="1"/>
    <x:row r="239" ht="14.25" customHeight="1"/>
    <x:row r="240" ht="14.25" customHeight="1"/>
    <x:row r="241" ht="14.25" customHeight="1"/>
    <x:row r="242" ht="14.25" customHeight="1"/>
    <x:row r="243" ht="14.25" customHeight="1"/>
    <x:row r="244" ht="14.25" customHeight="1"/>
    <x:row r="245" ht="14.25" customHeight="1"/>
    <x:row r="246" ht="14.25" customHeight="1"/>
    <x:row r="247" ht="14.25" customHeight="1"/>
    <x:row r="248" ht="14.25" customHeight="1"/>
    <x:row r="249" ht="14.25" customHeight="1"/>
    <x:row r="250" ht="14.25" customHeight="1"/>
    <x:row r="251" ht="14.25" customHeight="1"/>
    <x:row r="252" ht="14.25" customHeight="1"/>
    <x:row r="253" ht="14.25" customHeight="1"/>
    <x:row r="254" ht="14.25" customHeight="1"/>
    <x:row r="255" ht="14.25" customHeight="1"/>
    <x:row r="256" ht="14.25" customHeight="1"/>
    <x:row r="257" ht="14.25" customHeight="1"/>
    <x:row r="258" ht="14.25" customHeight="1"/>
    <x:row r="259" ht="14.25" customHeight="1"/>
    <x:row r="260" ht="14.25" customHeight="1"/>
    <x:row r="261" ht="14.25" customHeight="1"/>
    <x:row r="262" ht="14.25" customHeight="1"/>
    <x:row r="263" ht="14.25" customHeight="1"/>
    <x:row r="264" ht="14.25" customHeight="1"/>
    <x:row r="265" ht="14.25" customHeight="1"/>
    <x:row r="266" ht="14.25" customHeight="1"/>
    <x:row r="267" ht="14.25" customHeight="1"/>
    <x:row r="268" ht="14.25" customHeight="1"/>
    <x:row r="269" ht="14.25" customHeight="1"/>
    <x:row r="270" ht="14.25" customHeight="1"/>
    <x:row r="271" ht="14.25" customHeight="1"/>
    <x:row r="272" ht="14.25" customHeight="1"/>
    <x:row r="273" ht="14.25" customHeight="1"/>
    <x:row r="274" ht="14.25" customHeight="1"/>
    <x:row r="275" ht="14.25" customHeight="1"/>
    <x:row r="276" ht="14.25" customHeight="1"/>
    <x:row r="277" ht="14.25" customHeight="1"/>
    <x:row r="278" ht="14.25" customHeight="1"/>
    <x:row r="279" ht="14.25" customHeight="1"/>
    <x:row r="280" ht="14.25" customHeight="1"/>
    <x:row r="281" ht="14.25" customHeight="1"/>
    <x:row r="282" ht="14.25" customHeight="1"/>
    <x:row r="283" ht="14.25" customHeight="1"/>
    <x:row r="284" ht="14.25" customHeight="1"/>
    <x:row r="285" ht="14.25" customHeight="1"/>
    <x:row r="286" ht="14.25" customHeight="1"/>
    <x:row r="287" ht="14.25" customHeight="1"/>
    <x:row r="288" ht="14.25" customHeight="1"/>
    <x:row r="289" ht="14.25" customHeight="1"/>
    <x:row r="290" ht="14.25" customHeight="1"/>
    <x:row r="291" ht="14.25" customHeight="1"/>
    <x:row r="292" ht="14.25" customHeight="1"/>
    <x:row r="293" ht="14.25" customHeight="1"/>
    <x:row r="294" ht="14.25" customHeight="1"/>
    <x:row r="295" ht="14.25" customHeight="1"/>
    <x:row r="296" ht="14.25" customHeight="1"/>
    <x:row r="297" ht="14.25" customHeight="1"/>
    <x:row r="298" ht="14.25" customHeight="1"/>
    <x:row r="299" ht="14.25" customHeight="1"/>
    <x:row r="300" ht="14.25" customHeight="1"/>
    <x:row r="301" ht="14.25" customHeight="1"/>
    <x:row r="302" ht="14.25" customHeight="1"/>
    <x:row r="303" ht="14.25" customHeight="1"/>
    <x:row r="304" ht="14.25" customHeight="1"/>
    <x:row r="305" ht="14.25" customHeight="1"/>
    <x:row r="306" ht="14.25" customHeight="1"/>
    <x:row r="307" ht="14.25" customHeight="1"/>
    <x:row r="308" ht="14.25" customHeight="1"/>
    <x:row r="309" ht="14.25" customHeight="1"/>
    <x:row r="310" ht="14.25" customHeight="1"/>
    <x:row r="311" ht="14.25" customHeight="1"/>
    <x:row r="312" ht="14.25" customHeight="1"/>
    <x:row r="313" ht="14.25" customHeight="1"/>
    <x:row r="314" ht="14.25" customHeight="1"/>
    <x:row r="315" ht="14.25" customHeight="1"/>
    <x:row r="316" ht="14.25" customHeight="1"/>
    <x:row r="317" ht="14.25" customHeight="1"/>
    <x:row r="318" ht="14.25" customHeight="1"/>
    <x:row r="319" ht="14.25" customHeight="1"/>
    <x:row r="320" ht="14.25" customHeight="1"/>
    <x:row r="321" ht="14.25" customHeight="1"/>
    <x:row r="322" ht="14.25" customHeight="1"/>
    <x:row r="323" ht="14.25" customHeight="1"/>
    <x:row r="324" ht="14.25" customHeight="1"/>
    <x:row r="325" ht="14.25" customHeight="1"/>
    <x:row r="326" ht="14.25" customHeight="1"/>
    <x:row r="327" ht="14.25" customHeight="1"/>
    <x:row r="328" ht="14.25" customHeight="1"/>
    <x:row r="329" ht="14.25" customHeight="1"/>
    <x:row r="330" ht="14.25" customHeight="1"/>
    <x:row r="331" ht="14.25" customHeight="1"/>
    <x:row r="332" ht="14.25" customHeight="1"/>
    <x:row r="333" ht="14.25" customHeight="1"/>
    <x:row r="334" ht="14.25" customHeight="1"/>
    <x:row r="335" ht="14.25" customHeight="1"/>
    <x:row r="336" ht="14.25" customHeight="1"/>
    <x:row r="337" ht="14.25" customHeight="1"/>
    <x:row r="338" ht="14.25" customHeight="1"/>
    <x:row r="339" ht="14.25" customHeight="1"/>
    <x:row r="340" ht="14.25" customHeight="1"/>
    <x:row r="341" ht="14.25" customHeight="1"/>
    <x:row r="342" ht="14.25" customHeight="1"/>
    <x:row r="343" ht="14.25" customHeight="1"/>
    <x:row r="344" ht="14.25" customHeight="1"/>
    <x:row r="345" ht="14.25" customHeight="1"/>
    <x:row r="346" ht="14.25" customHeight="1"/>
    <x:row r="347" ht="14.25" customHeight="1"/>
    <x:row r="348" ht="14.25" customHeight="1"/>
    <x:row r="349" ht="14.25" customHeight="1"/>
    <x:row r="350" ht="14.25" customHeight="1"/>
    <x:row r="351" ht="14.25" customHeight="1"/>
    <x:row r="352" ht="14.25" customHeight="1"/>
    <x:row r="353" ht="14.25" customHeight="1"/>
    <x:row r="354" ht="14.25" customHeight="1"/>
    <x:row r="355" ht="14.25" customHeight="1"/>
    <x:row r="356" ht="14.25" customHeight="1"/>
    <x:row r="357" ht="14.25" customHeight="1"/>
    <x:row r="358" ht="14.25" customHeight="1"/>
    <x:row r="359" ht="14.25" customHeight="1"/>
    <x:row r="360" ht="14.25" customHeight="1"/>
    <x:row r="361" ht="14.25" customHeight="1"/>
    <x:row r="362" ht="14.25" customHeight="1"/>
    <x:row r="363" ht="14.25" customHeight="1"/>
    <x:row r="364" ht="14.25" customHeight="1"/>
    <x:row r="365" ht="14.25" customHeight="1"/>
    <x:row r="366" ht="14.25" customHeight="1"/>
    <x:row r="367" ht="14.25" customHeight="1"/>
    <x:row r="368" ht="14.25" customHeight="1"/>
    <x:row r="369" ht="14.25" customHeight="1"/>
    <x:row r="370" ht="14.25" customHeight="1"/>
    <x:row r="371" ht="14.25" customHeight="1"/>
    <x:row r="372" ht="14.25" customHeight="1"/>
    <x:row r="373" ht="14.25" customHeight="1"/>
    <x:row r="374" ht="14.25" customHeight="1"/>
    <x:row r="375" ht="14.25" customHeight="1"/>
    <x:row r="376" ht="14.25" customHeight="1"/>
    <x:row r="377" ht="14.25" customHeight="1"/>
    <x:row r="378" ht="14.25" customHeight="1"/>
    <x:row r="379" ht="14.25" customHeight="1"/>
    <x:row r="380" ht="14.25" customHeight="1"/>
    <x:row r="381" ht="14.25" customHeight="1"/>
    <x:row r="382" ht="14.25" customHeight="1"/>
    <x:row r="383" ht="14.25" customHeight="1"/>
    <x:row r="384" ht="14.25" customHeight="1"/>
    <x:row r="385" ht="14.25" customHeight="1"/>
    <x:row r="386" ht="14.25" customHeight="1"/>
    <x:row r="387" ht="14.25" customHeight="1"/>
    <x:row r="388" ht="14.25" customHeight="1"/>
    <x:row r="389" ht="14.25" customHeight="1"/>
    <x:row r="390" ht="14.25" customHeight="1"/>
    <x:row r="391" ht="14.25" customHeight="1"/>
    <x:row r="392" ht="14.25" customHeight="1"/>
    <x:row r="393" ht="14.25" customHeight="1"/>
    <x:row r="394" ht="14.25" customHeight="1"/>
    <x:row r="395" ht="14.25" customHeight="1"/>
    <x:row r="396" ht="14.25" customHeight="1"/>
    <x:row r="397" ht="14.25" customHeight="1"/>
    <x:row r="398" ht="14.25" customHeight="1"/>
    <x:row r="399" ht="14.25" customHeight="1"/>
    <x:row r="400" ht="14.25" customHeight="1"/>
    <x:row r="401" ht="14.25" customHeight="1"/>
    <x:row r="402" ht="14.25" customHeight="1"/>
    <x:row r="403" ht="14.25" customHeight="1"/>
    <x:row r="404" ht="14.25" customHeight="1"/>
    <x:row r="405" ht="14.25" customHeight="1"/>
    <x:row r="406" ht="14.25" customHeight="1"/>
    <x:row r="407" ht="14.25" customHeight="1"/>
    <x:row r="408" ht="14.25" customHeight="1"/>
    <x:row r="409" ht="14.25" customHeight="1"/>
    <x:row r="410" ht="14.25" customHeight="1"/>
    <x:row r="411" ht="14.25" customHeight="1"/>
    <x:row r="412" ht="14.25" customHeight="1"/>
    <x:row r="413" ht="14.25" customHeight="1"/>
    <x:row r="414" ht="14.25" customHeight="1"/>
    <x:row r="415" ht="14.25" customHeight="1"/>
    <x:row r="416" ht="14.25" customHeight="1"/>
    <x:row r="417" ht="14.25" customHeight="1"/>
    <x:row r="418" ht="14.25" customHeight="1"/>
    <x:row r="419" ht="14.25" customHeight="1"/>
    <x:row r="420" ht="14.25" customHeight="1"/>
    <x:row r="421" ht="14.25" customHeight="1"/>
    <x:row r="422" ht="14.25" customHeight="1"/>
    <x:row r="423" ht="14.25" customHeight="1"/>
    <x:row r="424" ht="14.25" customHeight="1"/>
    <x:row r="425" ht="14.25" customHeight="1"/>
    <x:row r="426" ht="14.25" customHeight="1"/>
    <x:row r="427" ht="14.25" customHeight="1"/>
    <x:row r="428" ht="14.25" customHeight="1"/>
    <x:row r="429" ht="14.25" customHeight="1"/>
    <x:row r="430" ht="14.25" customHeight="1"/>
    <x:row r="431" ht="14.25" customHeight="1"/>
    <x:row r="432" ht="14.25" customHeight="1"/>
    <x:row r="433" ht="14.25" customHeight="1"/>
    <x:row r="434" ht="14.25" customHeight="1"/>
    <x:row r="435" ht="14.25" customHeight="1"/>
    <x:row r="436" ht="14.25" customHeight="1"/>
    <x:row r="437" ht="14.25" customHeight="1"/>
    <x:row r="438" ht="14.25" customHeight="1"/>
    <x:row r="439" ht="14.25" customHeight="1"/>
    <x:row r="440" ht="14.25" customHeight="1"/>
    <x:row r="441" ht="14.25" customHeight="1"/>
    <x:row r="442" ht="14.25" customHeight="1"/>
    <x:row r="443" ht="14.25" customHeight="1"/>
    <x:row r="444" ht="14.25" customHeight="1"/>
    <x:row r="445" ht="14.25" customHeight="1"/>
    <x:row r="446" ht="14.25" customHeight="1"/>
    <x:row r="447" ht="14.25" customHeight="1"/>
    <x:row r="448" ht="14.25" customHeight="1"/>
    <x:row r="449" ht="14.25" customHeight="1"/>
    <x:row r="450" ht="14.25" customHeight="1"/>
    <x:row r="451" ht="14.25" customHeight="1"/>
    <x:row r="452" ht="14.25" customHeight="1"/>
    <x:row r="453" ht="14.25" customHeight="1"/>
    <x:row r="454" ht="14.25" customHeight="1"/>
    <x:row r="455" ht="14.25" customHeight="1"/>
    <x:row r="456" ht="14.25" customHeight="1"/>
    <x:row r="457" ht="14.25" customHeight="1"/>
    <x:row r="458" ht="14.25" customHeight="1"/>
    <x:row r="459" ht="14.25" customHeight="1"/>
    <x:row r="460" ht="14.25" customHeight="1"/>
    <x:row r="461" ht="14.25" customHeight="1"/>
    <x:row r="462" ht="14.25" customHeight="1"/>
    <x:row r="463" ht="14.25" customHeight="1"/>
    <x:row r="464" ht="14.25" customHeight="1"/>
    <x:row r="465" ht="14.25" customHeight="1"/>
    <x:row r="466" ht="14.25" customHeight="1"/>
    <x:row r="467" ht="14.25" customHeight="1"/>
    <x:row r="468" ht="14.25" customHeight="1"/>
    <x:row r="469" ht="14.25" customHeight="1"/>
    <x:row r="470" ht="14.25" customHeight="1"/>
    <x:row r="471" ht="14.25" customHeight="1"/>
    <x:row r="472" ht="14.25" customHeight="1"/>
    <x:row r="473" ht="14.25" customHeight="1"/>
    <x:row r="474" ht="14.25" customHeight="1"/>
    <x:row r="475" ht="14.25" customHeight="1"/>
    <x:row r="476" ht="14.25" customHeight="1"/>
    <x:row r="477" ht="14.25" customHeight="1"/>
    <x:row r="478" ht="14.25" customHeight="1"/>
    <x:row r="479" ht="14.25" customHeight="1"/>
    <x:row r="480" ht="14.25" customHeight="1"/>
    <x:row r="481" ht="14.25" customHeight="1"/>
    <x:row r="482" ht="14.25" customHeight="1"/>
    <x:row r="483" ht="14.25" customHeight="1"/>
    <x:row r="484" ht="14.25" customHeight="1"/>
    <x:row r="485" ht="14.25" customHeight="1"/>
    <x:row r="486" ht="14.25" customHeight="1"/>
    <x:row r="487" ht="14.25" customHeight="1"/>
    <x:row r="488" ht="14.25" customHeight="1"/>
    <x:row r="489" ht="14.25" customHeight="1"/>
    <x:row r="490" ht="14.25" customHeight="1"/>
    <x:row r="491" ht="14.25" customHeight="1"/>
    <x:row r="492" ht="14.25" customHeight="1"/>
    <x:row r="493" ht="14.25" customHeight="1"/>
    <x:row r="494" ht="14.25" customHeight="1"/>
    <x:row r="495" ht="14.25" customHeight="1"/>
    <x:row r="496" ht="14.25" customHeight="1"/>
    <x:row r="497" ht="14.25" customHeight="1"/>
    <x:row r="498" ht="14.25" customHeight="1"/>
    <x:row r="499" ht="14.25" customHeight="1"/>
    <x:row r="500" ht="14.25" customHeight="1"/>
    <x:row r="501" ht="14.25" customHeight="1"/>
    <x:row r="502" ht="14.25" customHeight="1"/>
    <x:row r="503" ht="14.25" customHeight="1"/>
    <x:row r="504" ht="14.25" customHeight="1"/>
    <x:row r="505" ht="14.25" customHeight="1"/>
    <x:row r="506" ht="14.25" customHeight="1"/>
    <x:row r="507" ht="14.25" customHeight="1"/>
    <x:row r="508" ht="14.25" customHeight="1"/>
    <x:row r="509" ht="14.25" customHeight="1"/>
    <x:row r="510" ht="14.25" customHeight="1"/>
    <x:row r="511" ht="14.25" customHeight="1"/>
    <x:row r="512" ht="14.25" customHeight="1"/>
    <x:row r="513" ht="14.25" customHeight="1"/>
    <x:row r="514" ht="14.25" customHeight="1"/>
    <x:row r="515" ht="14.25" customHeight="1"/>
    <x:row r="516" ht="14.25" customHeight="1"/>
    <x:row r="517" ht="14.25" customHeight="1"/>
    <x:row r="518" ht="14.25" customHeight="1"/>
    <x:row r="519" ht="14.25" customHeight="1"/>
    <x:row r="520" ht="14.25" customHeight="1"/>
    <x:row r="521" ht="14.25" customHeight="1"/>
    <x:row r="522" ht="14.25" customHeight="1"/>
    <x:row r="523" ht="14.25" customHeight="1"/>
    <x:row r="524" ht="14.25" customHeight="1"/>
    <x:row r="525" ht="14.25" customHeight="1"/>
    <x:row r="526" ht="14.25" customHeight="1"/>
    <x:row r="527" ht="14.25" customHeight="1"/>
    <x:row r="528" ht="14.25" customHeight="1"/>
    <x:row r="529" ht="14.25" customHeight="1"/>
    <x:row r="530" ht="14.25" customHeight="1"/>
    <x:row r="531" ht="14.25" customHeight="1"/>
    <x:row r="532" ht="14.25" customHeight="1"/>
    <x:row r="533" ht="14.25" customHeight="1"/>
    <x:row r="534" ht="14.25" customHeight="1"/>
    <x:row r="535" ht="14.25" customHeight="1"/>
    <x:row r="536" ht="14.25" customHeight="1"/>
    <x:row r="537" ht="14.25" customHeight="1"/>
    <x:row r="538" ht="14.25" customHeight="1"/>
    <x:row r="539" ht="14.25" customHeight="1"/>
    <x:row r="540" ht="14.25" customHeight="1"/>
    <x:row r="541" ht="14.25" customHeight="1"/>
    <x:row r="542" ht="14.25" customHeight="1"/>
    <x:row r="543" ht="14.25" customHeight="1"/>
    <x:row r="544" ht="14.25" customHeight="1"/>
    <x:row r="545" ht="14.25" customHeight="1"/>
    <x:row r="546" ht="14.25" customHeight="1"/>
    <x:row r="547" ht="14.25" customHeight="1"/>
    <x:row r="548" ht="14.25" customHeight="1"/>
    <x:row r="549" ht="14.25" customHeight="1"/>
    <x:row r="550" ht="14.25" customHeight="1"/>
    <x:row r="551" ht="14.25" customHeight="1"/>
    <x:row r="552" ht="14.25" customHeight="1"/>
    <x:row r="553" ht="14.25" customHeight="1"/>
    <x:row r="554" ht="14.25" customHeight="1"/>
    <x:row r="555" ht="14.25" customHeight="1"/>
    <x:row r="556" ht="14.25" customHeight="1"/>
    <x:row r="557" ht="14.25" customHeight="1"/>
    <x:row r="558" ht="14.25" customHeight="1"/>
    <x:row r="559" ht="14.25" customHeight="1"/>
    <x:row r="560" ht="14.25" customHeight="1"/>
    <x:row r="561" ht="14.25" customHeight="1"/>
    <x:row r="562" ht="14.25" customHeight="1"/>
    <x:row r="563" ht="14.25" customHeight="1"/>
    <x:row r="564" ht="14.25" customHeight="1"/>
    <x:row r="565" ht="14.25" customHeight="1"/>
    <x:row r="566" ht="14.25" customHeight="1"/>
    <x:row r="567" ht="14.25" customHeight="1"/>
    <x:row r="568" ht="14.25" customHeight="1"/>
    <x:row r="569" ht="14.25" customHeight="1"/>
    <x:row r="570" ht="14.25" customHeight="1"/>
    <x:row r="571" ht="14.25" customHeight="1"/>
    <x:row r="572" ht="14.25" customHeight="1"/>
    <x:row r="573" ht="14.25" customHeight="1"/>
    <x:row r="574" ht="14.25" customHeight="1"/>
    <x:row r="575" ht="14.25" customHeight="1"/>
    <x:row r="576" ht="14.25" customHeight="1"/>
    <x:row r="577" ht="14.25" customHeight="1"/>
    <x:row r="578" ht="14.25" customHeight="1"/>
    <x:row r="579" ht="14.25" customHeight="1"/>
    <x:row r="580" ht="14.25" customHeight="1"/>
    <x:row r="581" ht="14.25" customHeight="1"/>
    <x:row r="582" ht="14.25" customHeight="1"/>
    <x:row r="583" ht="14.25" customHeight="1"/>
    <x:row r="584" ht="14.25" customHeight="1"/>
    <x:row r="585" ht="14.25" customHeight="1"/>
    <x:row r="586" ht="14.25" customHeight="1"/>
    <x:row r="587" ht="14.25" customHeight="1"/>
    <x:row r="588" ht="14.25" customHeight="1"/>
    <x:row r="589" ht="14.25" customHeight="1"/>
    <x:row r="590" ht="14.25" customHeight="1"/>
    <x:row r="591" ht="14.25" customHeight="1"/>
    <x:row r="592" ht="14.25" customHeight="1"/>
    <x:row r="593" ht="14.25" customHeight="1"/>
    <x:row r="594" ht="14.25" customHeight="1"/>
    <x:row r="595" ht="14.25" customHeight="1"/>
    <x:row r="596" ht="14.25" customHeight="1"/>
    <x:row r="597" ht="14.25" customHeight="1"/>
    <x:row r="598" ht="14.25" customHeight="1"/>
    <x:row r="599" ht="14.25" customHeight="1"/>
    <x:row r="600" ht="14.25" customHeight="1"/>
    <x:row r="601" ht="14.25" customHeight="1"/>
    <x:row r="602" ht="14.25" customHeight="1"/>
    <x:row r="603" ht="14.25" customHeight="1"/>
    <x:row r="604" ht="14.25" customHeight="1"/>
    <x:row r="605" ht="14.25" customHeight="1"/>
    <x:row r="606" ht="14.25" customHeight="1"/>
    <x:row r="607" ht="14.25" customHeight="1"/>
    <x:row r="608" ht="14.25" customHeight="1"/>
    <x:row r="609" ht="14.25" customHeight="1"/>
    <x:row r="610" ht="14.25" customHeight="1"/>
    <x:row r="611" ht="14.25" customHeight="1"/>
    <x:row r="612" ht="14.25" customHeight="1"/>
    <x:row r="613" ht="14.25" customHeight="1"/>
    <x:row r="614" ht="14.25" customHeight="1"/>
    <x:row r="615" ht="14.25" customHeight="1"/>
    <x:row r="616" ht="14.25" customHeight="1"/>
    <x:row r="617" ht="14.25" customHeight="1"/>
    <x:row r="618" ht="14.25" customHeight="1"/>
    <x:row r="619" ht="14.25" customHeight="1"/>
    <x:row r="620" ht="14.25" customHeight="1"/>
    <x:row r="621" ht="14.25" customHeight="1"/>
    <x:row r="622" ht="14.25" customHeight="1"/>
    <x:row r="623" ht="14.25" customHeight="1"/>
    <x:row r="624" ht="14.25" customHeight="1"/>
    <x:row r="625" ht="14.25" customHeight="1"/>
    <x:row r="626" ht="14.25" customHeight="1"/>
    <x:row r="627" ht="14.25" customHeight="1"/>
    <x:row r="628" ht="14.25" customHeight="1"/>
    <x:row r="629" ht="14.25" customHeight="1"/>
    <x:row r="630" ht="14.25" customHeight="1"/>
    <x:row r="631" ht="14.25" customHeight="1"/>
    <x:row r="632" ht="14.25" customHeight="1"/>
    <x:row r="633" ht="14.25" customHeight="1"/>
    <x:row r="634" ht="14.25" customHeight="1"/>
    <x:row r="635" ht="14.25" customHeight="1"/>
    <x:row r="636" ht="14.25" customHeight="1"/>
    <x:row r="637" ht="14.25" customHeight="1"/>
    <x:row r="638" ht="14.25" customHeight="1"/>
    <x:row r="639" ht="14.25" customHeight="1"/>
    <x:row r="640" ht="14.25" customHeight="1"/>
    <x:row r="641" ht="14.25" customHeight="1"/>
    <x:row r="642" ht="14.25" customHeight="1"/>
    <x:row r="643" ht="14.25" customHeight="1"/>
    <x:row r="644" ht="14.25" customHeight="1"/>
    <x:row r="645" ht="14.25" customHeight="1"/>
    <x:row r="646" ht="14.25" customHeight="1"/>
    <x:row r="647" ht="14.25" customHeight="1"/>
    <x:row r="648" ht="14.25" customHeight="1"/>
    <x:row r="649" ht="14.25" customHeight="1"/>
    <x:row r="650" ht="14.25" customHeight="1"/>
    <x:row r="651" ht="14.25" customHeight="1"/>
    <x:row r="652" ht="14.25" customHeight="1"/>
    <x:row r="653" ht="14.25" customHeight="1"/>
    <x:row r="654" ht="14.25" customHeight="1"/>
    <x:row r="655" ht="14.25" customHeight="1"/>
    <x:row r="656" ht="14.25" customHeight="1"/>
    <x:row r="657" ht="14.25" customHeight="1"/>
    <x:row r="658" ht="14.25" customHeight="1"/>
    <x:row r="659" ht="14.25" customHeight="1"/>
    <x:row r="660" ht="14.25" customHeight="1"/>
    <x:row r="661" ht="14.25" customHeight="1"/>
    <x:row r="662" ht="14.25" customHeight="1"/>
    <x:row r="663" ht="14.25" customHeight="1"/>
    <x:row r="664" ht="14.25" customHeight="1"/>
    <x:row r="665" ht="14.25" customHeight="1"/>
    <x:row r="666" ht="14.25" customHeight="1"/>
    <x:row r="667" ht="14.25" customHeight="1"/>
    <x:row r="668" ht="14.25" customHeight="1"/>
    <x:row r="669" ht="14.25" customHeight="1"/>
    <x:row r="670" ht="14.25" customHeight="1"/>
    <x:row r="671" ht="14.25" customHeight="1"/>
    <x:row r="672" ht="14.25" customHeight="1"/>
    <x:row r="673" ht="14.25" customHeight="1"/>
    <x:row r="674" ht="14.25" customHeight="1"/>
    <x:row r="675" ht="14.25" customHeight="1"/>
    <x:row r="676" ht="14.25" customHeight="1"/>
    <x:row r="677" ht="14.25" customHeight="1"/>
    <x:row r="678" ht="14.25" customHeight="1"/>
    <x:row r="679" ht="14.25" customHeight="1"/>
    <x:row r="680" ht="14.25" customHeight="1"/>
    <x:row r="681" ht="14.25" customHeight="1"/>
    <x:row r="682" ht="14.25" customHeight="1"/>
    <x:row r="683" ht="14.25" customHeight="1"/>
    <x:row r="684" ht="14.25" customHeight="1"/>
    <x:row r="685" ht="14.25" customHeight="1"/>
    <x:row r="686" ht="14.25" customHeight="1"/>
    <x:row r="687" ht="14.25" customHeight="1"/>
    <x:row r="688" ht="14.25" customHeight="1"/>
    <x:row r="689" ht="14.25" customHeight="1"/>
    <x:row r="690" ht="14.25" customHeight="1"/>
    <x:row r="691" ht="14.25" customHeight="1"/>
    <x:row r="692" ht="14.25" customHeight="1"/>
    <x:row r="693" ht="14.25" customHeight="1"/>
    <x:row r="694" ht="14.25" customHeight="1"/>
    <x:row r="695" ht="14.25" customHeight="1"/>
    <x:row r="696" ht="14.25" customHeight="1"/>
    <x:row r="697" ht="14.25" customHeight="1"/>
    <x:row r="698" ht="14.25" customHeight="1"/>
    <x:row r="699" ht="14.25" customHeight="1"/>
    <x:row r="700" ht="14.25" customHeight="1"/>
    <x:row r="701" ht="14.25" customHeight="1"/>
    <x:row r="702" ht="14.25" customHeight="1"/>
    <x:row r="703" ht="14.25" customHeight="1"/>
    <x:row r="704" ht="14.25" customHeight="1"/>
    <x:row r="705" ht="14.25" customHeight="1"/>
    <x:row r="706" ht="14.25" customHeight="1"/>
    <x:row r="707" ht="14.25" customHeight="1"/>
    <x:row r="708" ht="14.25" customHeight="1"/>
    <x:row r="709" ht="14.25" customHeight="1"/>
    <x:row r="710" ht="14.25" customHeight="1"/>
    <x:row r="711" ht="14.25" customHeight="1"/>
    <x:row r="712" ht="14.25" customHeight="1"/>
    <x:row r="713" ht="14.25" customHeight="1"/>
    <x:row r="714" ht="14.25" customHeight="1"/>
    <x:row r="715" ht="14.25" customHeight="1"/>
    <x:row r="716" ht="14.25" customHeight="1"/>
    <x:row r="717" ht="14.25" customHeight="1"/>
    <x:row r="718" ht="14.25" customHeight="1"/>
    <x:row r="719" ht="14.25" customHeight="1"/>
    <x:row r="720" ht="14.25" customHeight="1"/>
    <x:row r="721" ht="14.25" customHeight="1"/>
    <x:row r="722" ht="14.25" customHeight="1"/>
    <x:row r="723" ht="14.25" customHeight="1"/>
    <x:row r="724" ht="14.25" customHeight="1"/>
    <x:row r="725" ht="14.25" customHeight="1"/>
    <x:row r="726" ht="14.25" customHeight="1"/>
    <x:row r="727" ht="14.25" customHeight="1"/>
    <x:row r="728" ht="14.25" customHeight="1"/>
    <x:row r="729" ht="14.25" customHeight="1"/>
    <x:row r="730" ht="14.25" customHeight="1"/>
    <x:row r="731" ht="14.25" customHeight="1"/>
    <x:row r="732" ht="14.25" customHeight="1"/>
    <x:row r="733" ht="14.25" customHeight="1"/>
    <x:row r="734" ht="14.25" customHeight="1"/>
    <x:row r="735" ht="14.25" customHeight="1"/>
    <x:row r="736" ht="14.25" customHeight="1"/>
    <x:row r="737" ht="14.25" customHeight="1"/>
    <x:row r="738" ht="14.25" customHeight="1"/>
    <x:row r="739" ht="14.25" customHeight="1"/>
    <x:row r="740" ht="14.25" customHeight="1"/>
    <x:row r="741" ht="14.25" customHeight="1"/>
    <x:row r="742" ht="14.25" customHeight="1"/>
    <x:row r="743" ht="14.25" customHeight="1"/>
    <x:row r="744" ht="14.25" customHeight="1"/>
    <x:row r="745" ht="14.25" customHeight="1"/>
    <x:row r="746" ht="14.25" customHeight="1"/>
    <x:row r="747" ht="14.25" customHeight="1"/>
    <x:row r="748" ht="14.25" customHeight="1"/>
    <x:row r="749" ht="14.25" customHeight="1"/>
    <x:row r="750" ht="14.25" customHeight="1"/>
    <x:row r="751" ht="14.25" customHeight="1"/>
    <x:row r="752" ht="14.25" customHeight="1"/>
    <x:row r="753" ht="14.25" customHeight="1"/>
    <x:row r="754" ht="14.25" customHeight="1"/>
    <x:row r="755" ht="14.25" customHeight="1"/>
    <x:row r="756" ht="14.25" customHeight="1"/>
    <x:row r="757" ht="14.25" customHeight="1"/>
    <x:row r="758" ht="14.25" customHeight="1"/>
    <x:row r="759" ht="14.25" customHeight="1"/>
    <x:row r="760" ht="14.25" customHeight="1"/>
    <x:row r="761" ht="14.25" customHeight="1"/>
    <x:row r="762" ht="14.25" customHeight="1"/>
    <x:row r="763" ht="14.25" customHeight="1"/>
    <x:row r="764" ht="14.25" customHeight="1"/>
    <x:row r="765" ht="14.25" customHeight="1"/>
    <x:row r="766" ht="14.25" customHeight="1"/>
    <x:row r="767" ht="14.25" customHeight="1"/>
    <x:row r="768" ht="14.25" customHeight="1"/>
    <x:row r="769" ht="14.25" customHeight="1"/>
    <x:row r="770" ht="14.25" customHeight="1"/>
    <x:row r="771" ht="14.25" customHeight="1"/>
    <x:row r="772" ht="14.25" customHeight="1"/>
    <x:row r="773" ht="14.25" customHeight="1"/>
    <x:row r="774" ht="14.25" customHeight="1"/>
    <x:row r="775" ht="14.25" customHeight="1"/>
    <x:row r="776" ht="14.25" customHeight="1"/>
    <x:row r="777" ht="14.25" customHeight="1"/>
    <x:row r="778" ht="14.25" customHeight="1"/>
    <x:row r="779" ht="14.25" customHeight="1"/>
    <x:row r="780" ht="14.25" customHeight="1"/>
    <x:row r="781" ht="14.25" customHeight="1"/>
    <x:row r="782" ht="14.25" customHeight="1"/>
    <x:row r="783" ht="14.25" customHeight="1"/>
    <x:row r="784" ht="14.25" customHeight="1"/>
    <x:row r="785" ht="14.25" customHeight="1"/>
    <x:row r="786" ht="14.25" customHeight="1"/>
    <x:row r="787" ht="14.25" customHeight="1"/>
    <x:row r="788" ht="14.25" customHeight="1"/>
    <x:row r="789" ht="14.25" customHeight="1"/>
    <x:row r="790" ht="14.25" customHeight="1"/>
    <x:row r="791" ht="14.25" customHeight="1"/>
    <x:row r="792" ht="14.25" customHeight="1"/>
    <x:row r="793" ht="14.25" customHeight="1"/>
    <x:row r="794" ht="14.25" customHeight="1"/>
    <x:row r="795" ht="14.25" customHeight="1"/>
    <x:row r="796" ht="14.25" customHeight="1"/>
    <x:row r="797" ht="14.25" customHeight="1"/>
    <x:row r="798" ht="14.25" customHeight="1"/>
    <x:row r="799" ht="14.25" customHeight="1"/>
    <x:row r="800" ht="14.25" customHeight="1"/>
    <x:row r="801" ht="14.25" customHeight="1"/>
    <x:row r="802" ht="14.25" customHeight="1"/>
    <x:row r="803" ht="14.25" customHeight="1"/>
    <x:row r="804" ht="14.25" customHeight="1"/>
    <x:row r="805" ht="14.25" customHeight="1"/>
    <x:row r="806" ht="14.25" customHeight="1"/>
    <x:row r="807" ht="14.25" customHeight="1"/>
    <x:row r="808" ht="14.25" customHeight="1"/>
    <x:row r="809" ht="14.25" customHeight="1"/>
    <x:row r="810" ht="14.25" customHeight="1"/>
    <x:row r="811" ht="14.25" customHeight="1"/>
    <x:row r="812" ht="14.25" customHeight="1"/>
    <x:row r="813" ht="14.25" customHeight="1"/>
    <x:row r="814" ht="14.25" customHeight="1"/>
    <x:row r="815" ht="14.25" customHeight="1"/>
    <x:row r="816" ht="14.25" customHeight="1"/>
    <x:row r="817" ht="14.25" customHeight="1"/>
    <x:row r="818" ht="14.25" customHeight="1"/>
    <x:row r="819" ht="14.25" customHeight="1"/>
    <x:row r="820" ht="14.25" customHeight="1"/>
    <x:row r="821" ht="14.25" customHeight="1"/>
    <x:row r="822" ht="14.25" customHeight="1"/>
    <x:row r="823" ht="14.25" customHeight="1"/>
    <x:row r="824" ht="14.25" customHeight="1"/>
    <x:row r="825" ht="14.25" customHeight="1"/>
    <x:row r="826" ht="14.25" customHeight="1"/>
    <x:row r="827" ht="14.25" customHeight="1"/>
    <x:row r="828" ht="14.25" customHeight="1"/>
    <x:row r="829" ht="14.25" customHeight="1"/>
    <x:row r="830" ht="14.25" customHeight="1"/>
    <x:row r="831" ht="14.25" customHeight="1"/>
    <x:row r="832" ht="14.25" customHeight="1"/>
    <x:row r="833" ht="14.25" customHeight="1"/>
    <x:row r="834" ht="14.25" customHeight="1"/>
    <x:row r="835" ht="14.25" customHeight="1"/>
    <x:row r="836" ht="14.25" customHeight="1"/>
    <x:row r="837" ht="14.25" customHeight="1"/>
    <x:row r="838" ht="14.25" customHeight="1"/>
    <x:row r="839" ht="14.25" customHeight="1"/>
    <x:row r="840" ht="14.25" customHeight="1"/>
    <x:row r="841" ht="14.25" customHeight="1"/>
    <x:row r="842" ht="14.25" customHeight="1"/>
    <x:row r="843" ht="14.25" customHeight="1"/>
    <x:row r="844" ht="14.25" customHeight="1"/>
    <x:row r="845" ht="14.25" customHeight="1"/>
    <x:row r="846" ht="14.25" customHeight="1"/>
    <x:row r="847" ht="14.25" customHeight="1"/>
    <x:row r="848" ht="14.25" customHeight="1"/>
    <x:row r="849" ht="14.25" customHeight="1"/>
    <x:row r="850" ht="14.25" customHeight="1"/>
    <x:row r="851" ht="14.25" customHeight="1"/>
    <x:row r="852" ht="14.25" customHeight="1"/>
    <x:row r="853" ht="14.25" customHeight="1"/>
    <x:row r="854" ht="14.25" customHeight="1"/>
    <x:row r="855" ht="14.25" customHeight="1"/>
    <x:row r="856" ht="14.25" customHeight="1"/>
    <x:row r="857" ht="14.25" customHeight="1"/>
    <x:row r="858" ht="14.25" customHeight="1"/>
    <x:row r="859" ht="14.25" customHeight="1"/>
    <x:row r="860" ht="14.25" customHeight="1"/>
    <x:row r="861" ht="14.25" customHeight="1"/>
    <x:row r="862" ht="14.25" customHeight="1"/>
    <x:row r="863" ht="14.25" customHeight="1"/>
    <x:row r="864" ht="14.25" customHeight="1"/>
    <x:row r="865" ht="14.25" customHeight="1"/>
    <x:row r="866" ht="14.25" customHeight="1"/>
    <x:row r="867" ht="14.25" customHeight="1"/>
    <x:row r="868" ht="14.25" customHeight="1"/>
    <x:row r="869" ht="14.25" customHeight="1"/>
    <x:row r="870" ht="14.25" customHeight="1"/>
    <x:row r="871" ht="14.25" customHeight="1"/>
    <x:row r="872" ht="14.25" customHeight="1"/>
    <x:row r="873" ht="14.25" customHeight="1"/>
    <x:row r="874" ht="14.25" customHeight="1"/>
    <x:row r="875" ht="14.25" customHeight="1"/>
    <x:row r="876" ht="14.25" customHeight="1"/>
    <x:row r="877" ht="14.25" customHeight="1"/>
    <x:row r="878" ht="14.25" customHeight="1"/>
    <x:row r="879" ht="14.25" customHeight="1"/>
    <x:row r="880" ht="14.25" customHeight="1"/>
    <x:row r="881" ht="14.25" customHeight="1"/>
    <x:row r="882" ht="14.25" customHeight="1"/>
    <x:row r="883" ht="14.25" customHeight="1"/>
    <x:row r="884" ht="14.25" customHeight="1"/>
    <x:row r="885" ht="14.25" customHeight="1"/>
    <x:row r="886" ht="14.25" customHeight="1"/>
    <x:row r="887" ht="14.25" customHeight="1"/>
    <x:row r="888" ht="14.25" customHeight="1"/>
    <x:row r="889" ht="14.25" customHeight="1"/>
    <x:row r="890" ht="14.25" customHeight="1"/>
    <x:row r="891" ht="14.25" customHeight="1"/>
    <x:row r="892" ht="14.25" customHeight="1"/>
    <x:row r="893" ht="14.25" customHeight="1"/>
    <x:row r="894" ht="14.25" customHeight="1"/>
    <x:row r="895" ht="14.25" customHeight="1"/>
    <x:row r="896" ht="14.25" customHeight="1"/>
    <x:row r="897" ht="14.25" customHeight="1"/>
    <x:row r="898" ht="14.25" customHeight="1"/>
    <x:row r="899" ht="14.25" customHeight="1"/>
    <x:row r="900" ht="14.25" customHeight="1"/>
    <x:row r="901" ht="14.25" customHeight="1"/>
    <x:row r="902" ht="14.25" customHeight="1"/>
    <x:row r="903" ht="14.25" customHeight="1"/>
    <x:row r="904" ht="14.25" customHeight="1"/>
    <x:row r="905" ht="14.25" customHeight="1"/>
    <x:row r="906" ht="14.25" customHeight="1"/>
    <x:row r="907" ht="14.25" customHeight="1"/>
    <x:row r="908" ht="14.25" customHeight="1"/>
    <x:row r="909" ht="14.25" customHeight="1"/>
    <x:row r="910" ht="14.25" customHeight="1"/>
    <x:row r="911" ht="14.25" customHeight="1"/>
    <x:row r="912" ht="14.25" customHeight="1"/>
    <x:row r="913" ht="14.25" customHeight="1"/>
    <x:row r="914" ht="14.25" customHeight="1"/>
    <x:row r="915" ht="14.25" customHeight="1"/>
    <x:row r="916" ht="14.25" customHeight="1"/>
    <x:row r="917" ht="14.25" customHeight="1"/>
    <x:row r="918" ht="14.25" customHeight="1"/>
    <x:row r="919" ht="14.25" customHeight="1"/>
    <x:row r="920" ht="14.25" customHeight="1"/>
    <x:row r="921" ht="14.25" customHeight="1"/>
    <x:row r="922" ht="14.25" customHeight="1"/>
    <x:row r="923" ht="14.25" customHeight="1"/>
    <x:row r="924" ht="14.25" customHeight="1"/>
    <x:row r="925" ht="14.25" customHeight="1"/>
    <x:row r="926" ht="14.25" customHeight="1"/>
    <x:row r="927" ht="14.25" customHeight="1"/>
    <x:row r="928" ht="14.25" customHeight="1"/>
    <x:row r="929" ht="14.25" customHeight="1"/>
    <x:row r="930" ht="14.25" customHeight="1"/>
    <x:row r="931" ht="14.25" customHeight="1"/>
    <x:row r="932" ht="14.25" customHeight="1"/>
    <x:row r="933" ht="14.25" customHeight="1"/>
    <x:row r="934" ht="14.25" customHeight="1"/>
    <x:row r="935" ht="14.25" customHeight="1"/>
    <x:row r="936" ht="14.25" customHeight="1"/>
    <x:row r="937" ht="14.25" customHeight="1"/>
    <x:row r="938" ht="14.25" customHeight="1"/>
    <x:row r="939" ht="14.25" customHeight="1"/>
    <x:row r="940" ht="14.25" customHeight="1"/>
    <x:row r="941" ht="14.25" customHeight="1"/>
    <x:row r="942" ht="14.25" customHeight="1"/>
    <x:row r="943" ht="14.25" customHeight="1"/>
    <x:row r="944" ht="14.25" customHeight="1"/>
    <x:row r="945" ht="14.25" customHeight="1"/>
    <x:row r="946" ht="14.25" customHeight="1"/>
    <x:row r="947" ht="14.25" customHeight="1"/>
    <x:row r="948" ht="14.25" customHeight="1"/>
    <x:row r="949" ht="14.25" customHeight="1"/>
    <x:row r="950" ht="14.25" customHeight="1"/>
    <x:row r="951" ht="14.25" customHeight="1"/>
    <x:row r="952" ht="14.25" customHeight="1"/>
    <x:row r="953" ht="14.25" customHeight="1"/>
    <x:row r="954" ht="14.25" customHeight="1"/>
    <x:row r="955" ht="14.25" customHeight="1"/>
    <x:row r="956" ht="14.25" customHeight="1"/>
    <x:row r="957" ht="14.25" customHeight="1"/>
    <x:row r="958" ht="14.25" customHeight="1"/>
    <x:row r="959" ht="14.25" customHeight="1"/>
    <x:row r="960" ht="14.25" customHeight="1"/>
    <x:row r="961" ht="14.25" customHeight="1"/>
    <x:row r="962" ht="14.25" customHeight="1"/>
    <x:row r="963" ht="14.25" customHeight="1"/>
    <x:row r="964" ht="14.25" customHeight="1"/>
    <x:row r="965" ht="14.25" customHeight="1"/>
    <x:row r="966" ht="14.25" customHeight="1"/>
    <x:row r="967" ht="14.25" customHeight="1"/>
    <x:row r="968" ht="14.25" customHeight="1"/>
    <x:row r="969" ht="14.25" customHeight="1"/>
    <x:row r="970" ht="14.25" customHeight="1"/>
    <x:row r="971" ht="14.25" customHeight="1"/>
    <x:row r="972" ht="14.25" customHeight="1"/>
    <x:row r="973" ht="14.25" customHeight="1"/>
    <x:row r="974" ht="14.25" customHeight="1"/>
    <x:row r="975" ht="14.25" customHeight="1"/>
    <x:row r="976" ht="14.25" customHeight="1"/>
    <x:row r="977" ht="14.25" customHeight="1"/>
    <x:row r="978" ht="14.25" customHeight="1"/>
    <x:row r="979" ht="14.25" customHeight="1"/>
    <x:row r="980" ht="14.25" customHeight="1"/>
    <x:row r="981" ht="14.25" customHeight="1"/>
    <x:row r="982" ht="14.25" customHeight="1"/>
    <x:row r="983" ht="14.25" customHeight="1"/>
    <x:row r="984" ht="14.25" customHeight="1"/>
    <x:row r="985" ht="14.25" customHeight="1"/>
    <x:row r="986" ht="14.25" customHeight="1"/>
    <x:row r="987" ht="14.25" customHeight="1"/>
    <x:row r="988" ht="14.25" customHeight="1"/>
    <x:row r="989" ht="14.25" customHeight="1"/>
    <x:row r="990" ht="14.25" customHeight="1"/>
    <x:row r="991" ht="14.25" customHeight="1"/>
    <x:row r="992" ht="14.25" customHeight="1"/>
    <x:row r="993" ht="14.25" customHeight="1"/>
    <x:row r="994" ht="14.25" customHeight="1"/>
    <x:row r="995" ht="14.25" customHeight="1"/>
    <x:row r="996" ht="14.25" customHeight="1"/>
    <x:row r="997" ht="14.25" customHeight="1"/>
    <x:row r="998" ht="14.25" customHeight="1"/>
    <x:row r="999" ht="14.25" customHeight="1"/>
    <x:row r="1000" ht="14.25" customHeight="1"/>
  </x:sheetData>
  <x:pageMargins left="0.7" right="0.7" top="0.75" bottom="0.75" header="0.3" footer="0.3"/>
</x:worksheet>
</file>